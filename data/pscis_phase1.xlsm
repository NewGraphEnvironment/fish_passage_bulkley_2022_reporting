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9F3BB610-F1BD-8443-BCC9-16C83D35BE05}" xr6:coauthVersionLast="47" xr6:coauthVersionMax="47" xr10:uidLastSave="{00000000-0000-0000-0000-000000000000}"/>
  <bookViews>
    <workbookView xWindow="1200" yWindow="64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5" i="2"/>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<sst xmlns="http://schemas.openxmlformats.org/spreadsheetml/2006/main" count="213" uniqueCount="145">
  <si>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</si>
  <si>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</si>
  <si>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</si>
  <si>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</si>
  <si>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</si>
  <si>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</si>
  <si>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</si>
  <si>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</si>
  <si>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</si>
  <si>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</si>
  <si>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</si>
  <si>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</si>
  <si>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</si>
  <si>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</si>
  <si>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</si>
  <si>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</si>
  <si>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</si>
  <si>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</si>
  <si>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</si>
  <si>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</si>
  <si>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</si>
  <si>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</si>
  <si>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</si>
  <si>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</si>
  <si>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</si>
  <si>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</si>
  <si>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</si>
  <si>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</si>
  <si>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</si>
  <si>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</si>
  <si>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</si>
  <si>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</si>
  <si>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</si>
  <si>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</si>
  <si>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</si>
  <si>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</si>
  <si>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</si>
  <si>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</si>
  <si>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</si>
  <si>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</si>
  <si>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</si>
  <si>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</si>
  <si>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</si>
  <si>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</si>
  <si>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</si>
  <si>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</si>
  <si>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</si>
  <si>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</si>
  <si>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</si>
  <si>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</si>
  <si>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</si>
  <si>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</si>
  <si>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</si>
  <si>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</si>
  <si>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</si>
  <si>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</si>
  <si>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</si>
  <si>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</si>
  <si>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</si>
  <si>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</si>
  <si>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</si>
  <si>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</si>
  <si>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</si>
  <si>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</si>
  <si>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</si>
  <si>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</si>
  <si>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</si>
  <si>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</si>
  <si>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</si>
  <si>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</si>
  <si>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</si>
  <si>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</si>
  <si>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</si>
  <si>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</si>
  <si>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</si>
  <si>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</si>
  <si>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</si>
  <si>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</si>
  <si>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</si>
  <si>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</si>
  <si>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</si>
  <si>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</si>
  <si>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</si>
  <si>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</si>
  <si>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</si>
  <si>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</si>
  <si>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</si>
  <si>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</si>
  <si>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</si>
  <si>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</si>
  <si>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</si>
  <si>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</si>
  <si>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</si>
  <si>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</si>
  <si>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</si>
  <si>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</si>
  <si>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</si>
  <si>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</si>
  <si>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</si>
  <si>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</si>
  <si>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</si>
  <si>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</si>
  <si>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</si>
  <si>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</si>
  <si>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</si>
  <si>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</si>
  <si>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</si>
  <si>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</si>
  <si>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</si>
  <si>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</si>
  <si>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</si>
  <si>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</si>
  <si>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</si>
  <si>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</si>
  <si>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</si>
  <si>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</si>
  <si>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</si>
  <si>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</si>
  <si>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</si>
  <si>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</si>
  <si>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</si>
  <si>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</si>
  <si>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</si>
  <si>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</si>
  <si>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</si>
  <si>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</si>
  <si>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</si>
  <si>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</si>
  <si>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</si>
  <si>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</si>
  <si>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</si>
  <si>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</si>
  <si>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</si>
  <si>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</si>
  <si>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</si>
  <si>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</si>
  <si>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</si>
  <si>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</si>
  <si>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</si>
  <si>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</si>
  <si>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</si>
  <si>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</si>
  <si>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</si>
  <si>
    <t>CN Railway</t>
  </si>
  <si>
    <t>Tributary to 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</si>
</sst>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135</v>
      </c>
    </row>
    <row r="5" spans="1:20">
      <c r="A5" s="4" t="s">
        <v>58</v>
      </c>
      <c r="B5" t="s">
        <v>136</v>
      </c>
    </row>
    <row r="6" spans="1:20">
      <c r="A6" s="4"/>
      <c r="B6" s="10"/>
    </row>
    <row r="7" spans="1:20">
      <c r="A7" s="4" t="s">
        <v>86</v>
      </c>
      <c r="B7" s="82" t="s">
        <v>137</v>
      </c>
    </row>
    <row r="8" spans="1:20">
      <c r="A8" s="4" t="s">
        <v>73</v>
      </c>
      <c r="B8" t="s">
        <v>138</v>
      </c>
    </row>
    <row r="9" spans="1:20">
      <c r="A9" s="4" t="s">
        <v>74</v>
      </c>
      <c r="B9" t="s">
        <v>139</v>
      </c>
    </row>
    <row r="10" spans="1:20">
      <c r="A10" s="4" t="s">
        <v>75</v>
      </c>
      <c r="B10" s="83" t="s">
        <v>140</v>
      </c>
    </row>
    <row r="11" spans="1:20">
      <c r="A11" s="4"/>
      <c r="B11" s="10"/>
    </row>
    <row r="12" spans="1:20">
      <c r="A12" s="4" t="s">
        <v>36</v>
      </c>
      <c r="B12" s="82" t="s">
        <v>141</v>
      </c>
    </row>
    <row r="13" spans="1:20">
      <c r="A13" s="4" t="s">
        <v>37</v>
      </c>
      <c r="B13" t="s">
        <v>138</v>
      </c>
    </row>
    <row r="14" spans="1:20">
      <c r="A14" s="4" t="s">
        <v>38</v>
      </c>
      <c r="B14" t="s">
        <v>139</v>
      </c>
    </row>
    <row r="15" spans="1:20">
      <c r="A15" s="4" t="s">
        <v>39</v>
      </c>
      <c r="B15" s="83" t="s">
        <v>140</v>
      </c>
    </row>
    <row r="16" spans="1:20">
      <c r="A16" s="4"/>
      <c r="B16" s="10"/>
    </row>
    <row r="17" spans="1:2">
      <c r="A17" s="4" t="s">
        <v>40</v>
      </c>
      <c r="B17">
        <v>25000</v>
      </c>
    </row>
    <row r="18" spans="1:2">
      <c r="A18" s="4" t="s">
        <v>41</v>
      </c>
      <c r="B18" t="s">
        <v>142</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H1" zoomScale="85" zoomScaleNormal="85" workbookViewId="0">
      <pane ySplit="4" topLeftCell="A5" activePane="bottomLeft" state="frozen"/>
      <selection pane="bottomLeft" activeCell="A8" sqref="A8:XFD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44802</v>
      </c>
      <c r="C5" s="10">
        <v>1801071</v>
      </c>
      <c r="D5" s="10" t="s">
        <v>95</v>
      </c>
      <c r="E5" s="11">
        <v>9</v>
      </c>
      <c r="F5" s="39">
        <v>665432</v>
      </c>
      <c r="G5" s="39">
        <v>6044495</v>
      </c>
      <c r="H5" s="11" t="s">
        <v>96</v>
      </c>
      <c r="I5" s="11" t="s">
        <v>123</v>
      </c>
      <c r="J5" s="33"/>
      <c r="K5" s="11" t="s">
        <v>129</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7" t="s">
        <v>124</v>
      </c>
    </row>
    <row r="6" spans="1:42" ht="16">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78" t="s">
        <v>102</v>
      </c>
    </row>
    <row r="7" spans="1:42" ht="16">
      <c r="A7" s="59">
        <v>44804</v>
      </c>
      <c r="C7" s="10">
        <v>1802798</v>
      </c>
      <c r="D7" s="10" t="s">
        <v>103</v>
      </c>
      <c r="E7" s="11">
        <v>9</v>
      </c>
      <c r="F7" s="39">
        <v>634181</v>
      </c>
      <c r="G7" s="39">
        <v>6053316</v>
      </c>
      <c r="H7" s="10" t="s">
        <v>104</v>
      </c>
      <c r="I7" s="11" t="s">
        <v>111</v>
      </c>
      <c r="J7" s="33"/>
      <c r="K7" s="10" t="s">
        <v>130</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O7" s="10"/>
      <c r="AP7" s="89" t="s">
        <v>126</v>
      </c>
    </row>
    <row r="8" spans="1:42" ht="16">
      <c r="A8" s="59">
        <v>44803</v>
      </c>
      <c r="B8" s="81"/>
      <c r="C8" s="10">
        <v>1805507</v>
      </c>
      <c r="D8" s="10" t="s">
        <v>113</v>
      </c>
      <c r="E8" s="11">
        <v>9</v>
      </c>
      <c r="F8" s="39">
        <v>645034</v>
      </c>
      <c r="G8" s="39">
        <v>6033148.4000000004</v>
      </c>
      <c r="H8" s="10" t="s">
        <v>100</v>
      </c>
      <c r="I8" s="11" t="s">
        <v>143</v>
      </c>
      <c r="J8" s="79"/>
      <c r="K8" s="80" t="s">
        <v>121</v>
      </c>
      <c r="L8" s="10" t="s">
        <v>94</v>
      </c>
      <c r="M8" s="10" t="s">
        <v>122</v>
      </c>
      <c r="N8" s="21">
        <v>2.5</v>
      </c>
      <c r="O8" s="21">
        <v>14.5</v>
      </c>
      <c r="P8" s="10" t="s">
        <v>105</v>
      </c>
      <c r="Q8" s="10">
        <v>0.4</v>
      </c>
      <c r="R8" s="10" t="s">
        <v>105</v>
      </c>
      <c r="S8" s="10" t="s">
        <v>105</v>
      </c>
      <c r="T8" s="10">
        <v>100</v>
      </c>
      <c r="U8" s="10">
        <v>0.5</v>
      </c>
      <c r="V8" s="10">
        <v>0</v>
      </c>
      <c r="W8" s="10">
        <v>0.2</v>
      </c>
      <c r="X8" s="10" t="s">
        <v>93</v>
      </c>
      <c r="Y8" s="10">
        <v>0</v>
      </c>
      <c r="Z8" s="10">
        <v>2.5</v>
      </c>
      <c r="AA8" s="10">
        <v>0</v>
      </c>
      <c r="AB8" s="10" t="s">
        <v>105</v>
      </c>
      <c r="AC8" s="10" t="s">
        <v>105</v>
      </c>
      <c r="AD8" s="10" t="s">
        <v>107</v>
      </c>
      <c r="AE8" s="10" t="s">
        <v>108</v>
      </c>
      <c r="AF8" s="20">
        <f t="shared" si="0"/>
        <v>1</v>
      </c>
      <c r="AG8" s="13">
        <f t="shared" si="1"/>
        <v>0</v>
      </c>
      <c r="AH8" s="7">
        <f t="shared" si="2"/>
        <v>5</v>
      </c>
      <c r="AI8" s="7">
        <f t="shared" si="3"/>
        <v>0</v>
      </c>
      <c r="AJ8" s="7">
        <f t="shared" si="4"/>
        <v>0</v>
      </c>
      <c r="AK8" s="7">
        <f t="shared" si="5"/>
        <v>3</v>
      </c>
      <c r="AL8" s="12">
        <f t="shared" si="6"/>
        <v>8</v>
      </c>
      <c r="AM8" s="14" t="str">
        <f t="shared" si="7"/>
        <v>Passable</v>
      </c>
      <c r="AN8" s="85"/>
      <c r="AO8" s="85"/>
      <c r="AP8" s="10" t="s">
        <v>133</v>
      </c>
    </row>
    <row r="9" spans="1:42" ht="16">
      <c r="A9" s="59">
        <v>44802</v>
      </c>
      <c r="C9" s="10">
        <v>1802069</v>
      </c>
      <c r="D9" s="10" t="s">
        <v>109</v>
      </c>
      <c r="E9" s="11">
        <v>9</v>
      </c>
      <c r="F9" s="39">
        <v>665598</v>
      </c>
      <c r="G9" s="39">
        <v>6052306</v>
      </c>
      <c r="H9" s="78" t="s">
        <v>110</v>
      </c>
      <c r="I9" s="11" t="s">
        <v>111</v>
      </c>
      <c r="J9" s="33"/>
      <c r="K9" s="80" t="s">
        <v>130</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131</v>
      </c>
    </row>
    <row r="10" spans="1:42" ht="16">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85"/>
      <c r="AO10" s="88"/>
      <c r="AP10" s="10" t="s">
        <v>127</v>
      </c>
    </row>
    <row r="11" spans="1:42" ht="16">
      <c r="A11" s="59">
        <v>44814</v>
      </c>
      <c r="C11" s="78">
        <v>2022091001</v>
      </c>
      <c r="D11" s="10" t="s">
        <v>114</v>
      </c>
      <c r="E11" s="10">
        <v>9</v>
      </c>
      <c r="F11" s="90">
        <v>590210.74</v>
      </c>
      <c r="G11" s="90">
        <v>6122882.2599999998</v>
      </c>
      <c r="H11" s="78" t="s">
        <v>144</v>
      </c>
      <c r="I11" s="11" t="s">
        <v>115</v>
      </c>
      <c r="J11" s="33"/>
      <c r="K11" s="10" t="s">
        <v>128</v>
      </c>
      <c r="L11" s="10" t="s">
        <v>94</v>
      </c>
      <c r="M11" s="10" t="s">
        <v>118</v>
      </c>
      <c r="N11" s="21">
        <v>1.25</v>
      </c>
      <c r="O11" s="21">
        <v>22</v>
      </c>
      <c r="P11" s="10" t="s">
        <v>93</v>
      </c>
      <c r="Q11" s="88"/>
      <c r="R11" s="10" t="s">
        <v>93</v>
      </c>
      <c r="S11" s="10" t="s">
        <v>93</v>
      </c>
      <c r="T11" s="88"/>
      <c r="U11" s="21">
        <v>1.5</v>
      </c>
      <c r="V11" s="10">
        <v>0</v>
      </c>
      <c r="W11" s="21">
        <v>0.4</v>
      </c>
      <c r="X11" s="10" t="s">
        <v>105</v>
      </c>
      <c r="Y11" s="21">
        <v>1</v>
      </c>
      <c r="Z11" s="21">
        <v>2.8</v>
      </c>
      <c r="AA11" s="10">
        <v>3</v>
      </c>
      <c r="AB11" s="10" t="s">
        <v>93</v>
      </c>
      <c r="AC11" s="10" t="s">
        <v>105</v>
      </c>
      <c r="AD11" s="10" t="s">
        <v>107</v>
      </c>
      <c r="AE11" s="10" t="s">
        <v>119</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132</v>
      </c>
      <c r="AO11" s="21">
        <v>10</v>
      </c>
      <c r="AP11" s="10" t="s">
        <v>134</v>
      </c>
    </row>
    <row r="12" spans="1:42" ht="32">
      <c r="A12" s="59">
        <v>44814</v>
      </c>
      <c r="C12" s="10">
        <v>2022091002</v>
      </c>
      <c r="D12" s="10" t="s">
        <v>114</v>
      </c>
      <c r="E12" s="11">
        <v>9</v>
      </c>
      <c r="F12" s="39">
        <v>590233.23</v>
      </c>
      <c r="G12" s="39">
        <v>6123183.2699999996</v>
      </c>
      <c r="H12" s="11" t="s">
        <v>144</v>
      </c>
      <c r="I12" s="11" t="s">
        <v>106</v>
      </c>
      <c r="J12" s="33"/>
      <c r="K12" s="11" t="s">
        <v>117</v>
      </c>
      <c r="L12" s="10" t="s">
        <v>94</v>
      </c>
      <c r="M12" s="10" t="s">
        <v>118</v>
      </c>
      <c r="N12" s="21">
        <v>1.5</v>
      </c>
      <c r="O12" s="21">
        <v>27</v>
      </c>
      <c r="P12" s="10" t="s">
        <v>93</v>
      </c>
      <c r="Q12" s="85"/>
      <c r="R12" s="10" t="s">
        <v>93</v>
      </c>
      <c r="S12" s="10" t="s">
        <v>93</v>
      </c>
      <c r="T12" s="88"/>
      <c r="U12" s="21">
        <v>1</v>
      </c>
      <c r="V12" s="10">
        <v>0</v>
      </c>
      <c r="W12" s="21">
        <v>0.2</v>
      </c>
      <c r="X12" s="10" t="s">
        <v>105</v>
      </c>
      <c r="Y12" s="21">
        <v>2.5</v>
      </c>
      <c r="Z12" s="21">
        <v>3.9</v>
      </c>
      <c r="AA12" s="10">
        <v>2.5</v>
      </c>
      <c r="AB12" s="10" t="s">
        <v>93</v>
      </c>
      <c r="AC12" s="10" t="s">
        <v>105</v>
      </c>
      <c r="AD12" s="10" t="s">
        <v>107</v>
      </c>
      <c r="AE12" s="10" t="s">
        <v>119</v>
      </c>
      <c r="AF12" s="20">
        <f t="shared" ref="AF12:AF72" si="8">IF(ISBLANK(Z12), 0, IF(ISBLANK(N12) &lt; 0, 0,Z12 / N12))</f>
        <v>2.6</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10" t="s">
        <v>132</v>
      </c>
      <c r="AO12" s="21">
        <v>10</v>
      </c>
      <c r="AP12" s="10" t="s">
        <v>125</v>
      </c>
    </row>
    <row r="13" spans="1:42" ht="32">
      <c r="A13" s="59">
        <v>44814</v>
      </c>
      <c r="C13" s="10">
        <v>2022091003</v>
      </c>
      <c r="D13" s="10" t="s">
        <v>114</v>
      </c>
      <c r="E13" s="11">
        <v>9</v>
      </c>
      <c r="F13" s="39">
        <v>590200.88</v>
      </c>
      <c r="G13" s="39">
        <v>6123262.3899999997</v>
      </c>
      <c r="H13" s="11" t="s">
        <v>144</v>
      </c>
      <c r="I13" s="11" t="s">
        <v>116</v>
      </c>
      <c r="K13" s="11" t="s">
        <v>128</v>
      </c>
      <c r="L13" s="10" t="s">
        <v>94</v>
      </c>
      <c r="M13" s="10" t="s">
        <v>118</v>
      </c>
      <c r="N13" s="21">
        <v>1.8</v>
      </c>
      <c r="O13" s="21">
        <v>19</v>
      </c>
      <c r="P13" s="10" t="s">
        <v>93</v>
      </c>
      <c r="Q13" s="85"/>
      <c r="R13" s="10" t="s">
        <v>93</v>
      </c>
      <c r="S13" s="10" t="s">
        <v>93</v>
      </c>
      <c r="T13" s="85"/>
      <c r="U13" s="21">
        <v>1</v>
      </c>
      <c r="V13" s="10">
        <v>0.2</v>
      </c>
      <c r="W13" s="21">
        <v>0.1</v>
      </c>
      <c r="X13" s="10" t="s">
        <v>105</v>
      </c>
      <c r="Y13" s="21">
        <v>1</v>
      </c>
      <c r="Z13" s="21">
        <v>2.6</v>
      </c>
      <c r="AA13" s="10">
        <v>1</v>
      </c>
      <c r="AB13" s="10" t="s">
        <v>93</v>
      </c>
      <c r="AC13" s="10" t="s">
        <v>105</v>
      </c>
      <c r="AD13" s="10" t="s">
        <v>107</v>
      </c>
      <c r="AE13" s="10" t="s">
        <v>119</v>
      </c>
      <c r="AF13" s="20">
        <f t="shared" si="8"/>
        <v>1.4444444444444444</v>
      </c>
      <c r="AG13" s="13">
        <f t="shared" si="1"/>
        <v>3</v>
      </c>
      <c r="AH13" s="7">
        <f t="shared" si="2"/>
        <v>10</v>
      </c>
      <c r="AI13" s="7">
        <f t="shared" si="3"/>
        <v>5</v>
      </c>
      <c r="AJ13" s="7">
        <f t="shared" si="4"/>
        <v>5</v>
      </c>
      <c r="AK13" s="7">
        <f t="shared" si="5"/>
        <v>6</v>
      </c>
      <c r="AL13" s="12">
        <f t="shared" si="9"/>
        <v>29</v>
      </c>
      <c r="AM13" s="14" t="str">
        <f t="shared" si="7"/>
        <v>Barrier</v>
      </c>
      <c r="AN13" s="10" t="s">
        <v>132</v>
      </c>
      <c r="AO13" s="21">
        <v>10</v>
      </c>
      <c r="AP13" s="10" t="s">
        <v>120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7MJq24DhDEwqjOt/nOtv7kFABArb2++6xMhXrDo5KnHmX8ZNWrJqCOURgLP+xXJJktaobVghGtwOsDlykjd5aA==" saltValue="on/zkYZr9AWa/7LxDQaCLQ=="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2023-02-15T00:43:23Z</dcterms:modified>
</cp:coreProperties>
</file>