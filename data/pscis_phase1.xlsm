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E83D856D-C6A1-4098-8353-0F92CF6962EA}"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2" i="2"/>
  <c r="AM12" i="2" s="1"/>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4" i="2"/>
  <c r="AM14" i="2" s="1"/>
  <c r="AL13" i="2"/>
  <c r="AM13" i="2" s="1"/>
  <c r="AL11" i="2"/>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<sst xmlns="http://schemas.openxmlformats.org/spreadsheetml/2006/main" count="192" uniqueCount="133">
  <si>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</si>
  <si>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</si>
  <si>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</si>
  <si>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</si>
  <si>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</si>
  <si>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</si>
  <si>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</si>
  <si>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</si>
  <si>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</si>
  <si>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</si>
  <si>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</si>
  <si>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</si>
  <si>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</si>
  <si>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</si>
  <si>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</si>
  <si>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</si>
  <si>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</si>
  <si>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</si>
  <si>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</si>
  <si>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</si>
  <si>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</si>
  <si>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</si>
  <si>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</si>
  <si>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</si>
  <si>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</si>
  <si>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</si>
  <si>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</si>
  <si>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</si>
  <si>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</si>
  <si>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</si>
  <si>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</si>
  <si>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</si>
  <si>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</si>
  <si>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</si>
  <si>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</si>
  <si>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</si>
  <si>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</si>
  <si>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</si>
  <si>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</si>
  <si>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</si>
  <si>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</si>
  <si>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</si>
  <si>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</si>
  <si>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</si>
  <si>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</si>
  <si>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</si>
  <si>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</si>
  <si>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</si>
  <si>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</si>
  <si>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</si>
  <si>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</si>
  <si>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</si>
  <si>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</si>
  <si>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</si>
  <si>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</si>
  <si>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</si>
  <si>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</si>
  <si>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</si>
  <si>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</si>
  <si>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</si>
  <si>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</si>
  <si>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</si>
  <si>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</si>
  <si>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</si>
  <si>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</si>
  <si>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</si>
  <si>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</si>
  <si>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</si>
  <si>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</si>
  <si>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</si>
  <si>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</si>
  <si>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</si>
  <si>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</si>
  <si>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</si>
  <si>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</si>
  <si>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</si>
  <si>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</si>
  <si>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</si>
  <si>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</si>
  <si>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</si>
  <si>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</si>
  <si>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</si>
  <si>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</si>
  <si>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</si>
  <si>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</si>
  <si>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</si>
  <si>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</si>
  <si>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</si>
  <si>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</si>
  <si>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</si>
  <si>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</si>
  <si>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</si>
  <si>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</si>
  <si>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</si>
  <si>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</si>
  <si>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</si>
  <si>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</si>
  <si>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</si>
  <si>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</si>
  <si>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</si>
  <si>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</si>
  <si>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</si>
  <si>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</si>
  <si>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</si>
  <si>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</si>
  <si>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</si>
  <si>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</si>
  <si>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</si>
  <si>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</si>
  <si>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</si>
  <si>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</si>
  <si>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</si>
  <si>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Beaver dam in 'road location'. 15:47</t>
  </si>
  <si>
    <t>Private</t>
  </si>
  <si>
    <t>AI, DN, AN</t>
  </si>
  <si>
    <t>Private farm rtoad</t>
  </si>
  <si>
    <t xml:space="preserve">Curters are old CM railway metal structure and there is extensive concrete slabs in the stream used as rip wrap. Private bridge within farmland. 12:20       </t>
  </si>
  <si>
    <t>AI</t>
  </si>
  <si>
    <t>Dam has ~1m wide notch at 0.9m then 30m is 1.1m high. 35m wide and 0.9m high. UAV used to map the stream. Large wetland area upstream. Wetland type habitat downstream too. 17:27</t>
  </si>
  <si>
    <t>Waterfall Creek</t>
  </si>
  <si>
    <t>13 Avenue</t>
  </si>
  <si>
    <t>9th Avenue</t>
  </si>
  <si>
    <t>Hazelton</t>
  </si>
  <si>
    <t>MoTi</t>
  </si>
  <si>
    <t>Round Culvert</t>
  </si>
  <si>
    <t>High</t>
  </si>
  <si>
    <t xml:space="preserve">This is waterfall Creek. It does not show up in the freshwater atlas as here, however this is the main flow. Numerous fry and par observed upstream of the crossing. No paper card for site. 16:03 </t>
  </si>
  <si>
    <t xml:space="preserve">Stream is not maps correctly in the freshwater atlas. This is waterfall creek. Great flow, patches of gravel suitable for cohost Bonnie. Right within the town of New Hazelton. Trap and trucks call Hall operation occurring with spawners transplanted downstream of the railway. 16:34                  </t>
  </si>
  <si>
    <t xml:space="preserve">Two 0.9 pipe added together for width. Left pipe has significant blockage 1/3 of the way through the pipe. Right Bank of the stream has an empty lot with only grass and invasive weed riparian. 16:52              </t>
  </si>
  <si>
    <t>CN Rail</t>
  </si>
  <si>
    <t>CN</t>
  </si>
  <si>
    <t>Concrete Box</t>
  </si>
  <si>
    <t xml:space="preserve"> Fully back watered and embedded concrete blocks structure on the Railway. Not a fish passage issue at this time. 13:37:18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</si>
</sst>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0" fontId="0" fillId="10" borderId="0" xfId="0" applyFill="1" applyProtection="1"/>
    <xf numFmtId="165"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Protection="1">
      <protection locked="0"/>
    </xf>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8" sqref="H1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44802</v>
      </c>
      <c r="C5" s="10">
        <v>1801071</v>
      </c>
      <c r="D5" s="10" t="s">
        <v>95</v>
      </c>
      <c r="E5" s="11">
        <v>9</v>
      </c>
      <c r="F5" s="39">
        <v>665432</v>
      </c>
      <c r="G5" s="39">
        <v>6044495</v>
      </c>
      <c r="H5" s="11" t="s">
        <v>96</v>
      </c>
      <c r="J5" s="33"/>
      <c r="L5" s="10" t="s">
        <v>97</v>
      </c>
      <c r="M5" s="10" t="s">
        <v>98</v>
      </c>
      <c r="N5" s="87"/>
      <c r="O5" s="87"/>
      <c r="P5" s="86"/>
      <c r="Q5" s="86"/>
      <c r="R5" s="86"/>
      <c r="S5" s="86"/>
      <c r="T5" s="86"/>
      <c r="U5" s="86"/>
      <c r="V5" s="86"/>
      <c r="W5" s="86"/>
      <c r="X5" s="86"/>
      <c r="Y5" s="86"/>
      <c r="Z5" s="86"/>
      <c r="AA5" s="86"/>
      <c r="AB5" s="10" t="s">
        <v>93</v>
      </c>
      <c r="AC5" s="10" t="s">
        <v>93</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8">
        <v>0.53402777777777777</v>
      </c>
    </row>
    <row r="6" spans="1:42" x14ac:dyDescent="0.25">
      <c r="A6" s="59">
        <v>44803</v>
      </c>
      <c r="C6" s="10">
        <v>2022083050</v>
      </c>
      <c r="D6" s="10" t="s">
        <v>99</v>
      </c>
      <c r="E6" s="11">
        <v>9</v>
      </c>
      <c r="F6" s="39">
        <v>645355</v>
      </c>
      <c r="G6" s="39">
        <v>6034873</v>
      </c>
      <c r="H6" s="10" t="s">
        <v>100</v>
      </c>
      <c r="J6" s="33"/>
      <c r="K6" s="10"/>
      <c r="L6" s="10" t="s">
        <v>92</v>
      </c>
      <c r="M6" s="10" t="s">
        <v>101</v>
      </c>
      <c r="N6" s="85">
        <v>6.1</v>
      </c>
      <c r="O6" s="85">
        <v>4.4000000000000004</v>
      </c>
      <c r="P6" s="86"/>
      <c r="Q6" s="86"/>
      <c r="R6" s="86"/>
      <c r="S6" s="86"/>
      <c r="T6" s="86"/>
      <c r="U6" s="86"/>
      <c r="V6" s="86"/>
      <c r="W6" s="86"/>
      <c r="X6" s="86"/>
      <c r="Y6" s="86"/>
      <c r="Z6" s="86"/>
      <c r="AA6" s="86"/>
      <c r="AB6" s="10" t="s">
        <v>93</v>
      </c>
      <c r="AC6" s="10" t="s">
        <v>93</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102</v>
      </c>
    </row>
    <row r="7" spans="1:42" x14ac:dyDescent="0.25">
      <c r="A7" s="59">
        <v>44804</v>
      </c>
      <c r="C7" s="10">
        <v>1802798</v>
      </c>
      <c r="D7" s="10" t="s">
        <v>103</v>
      </c>
      <c r="E7" s="11">
        <v>9</v>
      </c>
      <c r="F7" s="39">
        <v>634181</v>
      </c>
      <c r="G7" s="39">
        <v>6053316</v>
      </c>
      <c r="H7" s="10" t="s">
        <v>104</v>
      </c>
      <c r="J7" s="33"/>
      <c r="K7" s="10"/>
      <c r="L7" s="10" t="s">
        <v>97</v>
      </c>
      <c r="M7" s="10" t="s">
        <v>98</v>
      </c>
      <c r="N7" s="89"/>
      <c r="O7" s="89"/>
      <c r="P7" s="86"/>
      <c r="Q7" s="86"/>
      <c r="R7" s="86"/>
      <c r="S7" s="86"/>
      <c r="T7" s="86"/>
      <c r="U7" s="86"/>
      <c r="V7" s="86"/>
      <c r="W7" s="86"/>
      <c r="X7" s="86"/>
      <c r="Y7" s="86"/>
      <c r="Z7" s="86"/>
      <c r="AA7" s="86"/>
      <c r="AB7" s="10" t="s">
        <v>93</v>
      </c>
      <c r="AC7" s="10" t="s">
        <v>105</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O7" s="10"/>
      <c r="AP7" s="90">
        <v>0.7319444444444444</v>
      </c>
    </row>
    <row r="8" spans="1:42" x14ac:dyDescent="0.25">
      <c r="A8" s="92">
        <v>44803</v>
      </c>
      <c r="B8" s="82"/>
      <c r="C8" s="93">
        <v>1805507</v>
      </c>
      <c r="D8" s="93" t="s">
        <v>114</v>
      </c>
      <c r="E8" s="94">
        <v>9</v>
      </c>
      <c r="F8" s="95">
        <v>645034</v>
      </c>
      <c r="G8" s="95">
        <v>6033148.4000000004</v>
      </c>
      <c r="H8" s="93" t="s">
        <v>100</v>
      </c>
      <c r="I8" s="94" t="s">
        <v>129</v>
      </c>
      <c r="J8" s="79">
        <v>91</v>
      </c>
      <c r="K8" s="81" t="s">
        <v>130</v>
      </c>
      <c r="L8" s="93" t="s">
        <v>94</v>
      </c>
      <c r="M8" s="93" t="s">
        <v>131</v>
      </c>
      <c r="N8" s="96">
        <v>2.5</v>
      </c>
      <c r="O8" s="96">
        <v>14.5</v>
      </c>
      <c r="P8" s="93" t="s">
        <v>105</v>
      </c>
      <c r="Q8" s="93">
        <v>0.4</v>
      </c>
      <c r="R8" s="93" t="s">
        <v>105</v>
      </c>
      <c r="S8" s="93" t="s">
        <v>105</v>
      </c>
      <c r="T8" s="93">
        <v>100</v>
      </c>
      <c r="U8" s="93">
        <v>0.5</v>
      </c>
      <c r="V8" s="93">
        <v>0</v>
      </c>
      <c r="W8" s="93">
        <v>0.2</v>
      </c>
      <c r="X8" s="93" t="s">
        <v>93</v>
      </c>
      <c r="Y8" s="93">
        <v>0</v>
      </c>
      <c r="Z8" s="93">
        <v>2.5</v>
      </c>
      <c r="AA8" s="93">
        <v>0</v>
      </c>
      <c r="AB8" s="93" t="s">
        <v>105</v>
      </c>
      <c r="AC8" s="93" t="s">
        <v>105</v>
      </c>
      <c r="AD8" s="93" t="s">
        <v>107</v>
      </c>
      <c r="AE8" s="93" t="s">
        <v>108</v>
      </c>
      <c r="AF8" s="20">
        <f t="shared" si="0"/>
        <v>1</v>
      </c>
      <c r="AG8" s="13">
        <f t="shared" si="1"/>
        <v>0</v>
      </c>
      <c r="AH8" s="7">
        <f t="shared" si="2"/>
        <v>5</v>
      </c>
      <c r="AI8" s="7">
        <f t="shared" si="3"/>
        <v>0</v>
      </c>
      <c r="AJ8" s="7">
        <f t="shared" si="4"/>
        <v>0</v>
      </c>
      <c r="AK8" s="7">
        <f t="shared" si="5"/>
        <v>3</v>
      </c>
      <c r="AL8" s="12">
        <f t="shared" si="6"/>
        <v>8</v>
      </c>
      <c r="AM8" s="14" t="str">
        <f t="shared" si="7"/>
        <v>Passable</v>
      </c>
      <c r="AN8" s="91"/>
      <c r="AO8" s="91"/>
      <c r="AP8" s="93" t="s">
        <v>132</v>
      </c>
    </row>
    <row r="9" spans="1:42" x14ac:dyDescent="0.25">
      <c r="A9" s="59">
        <v>44802</v>
      </c>
      <c r="C9" s="10">
        <v>1802069</v>
      </c>
      <c r="D9" s="10" t="s">
        <v>109</v>
      </c>
      <c r="E9" s="11">
        <v>9</v>
      </c>
      <c r="F9" s="39">
        <v>665598</v>
      </c>
      <c r="G9" s="39">
        <v>6052306</v>
      </c>
      <c r="H9" s="78" t="s">
        <v>110</v>
      </c>
      <c r="I9" s="11" t="s">
        <v>111</v>
      </c>
      <c r="J9" s="33"/>
      <c r="K9" s="81"/>
      <c r="L9" s="10" t="s">
        <v>97</v>
      </c>
      <c r="M9" s="10" t="s">
        <v>98</v>
      </c>
      <c r="N9" s="89"/>
      <c r="O9" s="89"/>
      <c r="P9" s="86"/>
      <c r="Q9" s="86"/>
      <c r="R9" s="86"/>
      <c r="S9" s="86"/>
      <c r="T9" s="86"/>
      <c r="U9" s="86"/>
      <c r="V9" s="86"/>
      <c r="W9" s="86"/>
      <c r="X9" s="86"/>
      <c r="Y9" s="86"/>
      <c r="Z9" s="86"/>
      <c r="AA9" s="86"/>
      <c r="AB9" s="10" t="s">
        <v>105</v>
      </c>
      <c r="AC9" s="10" t="s">
        <v>93</v>
      </c>
      <c r="AD9" s="86"/>
      <c r="AE9" s="86"/>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112</v>
      </c>
    </row>
    <row r="10" spans="1:42" x14ac:dyDescent="0.25">
      <c r="A10" s="59">
        <v>44803</v>
      </c>
      <c r="C10" s="10">
        <v>2022083001</v>
      </c>
      <c r="D10" s="10" t="s">
        <v>114</v>
      </c>
      <c r="E10" s="11">
        <v>9</v>
      </c>
      <c r="F10" s="39">
        <v>645564.15982677205</v>
      </c>
      <c r="G10" s="39">
        <v>6035218.8308778703</v>
      </c>
      <c r="H10" s="78" t="s">
        <v>100</v>
      </c>
      <c r="I10" s="11" t="s">
        <v>115</v>
      </c>
      <c r="J10" s="33"/>
      <c r="K10" s="10" t="s">
        <v>113</v>
      </c>
      <c r="L10" s="10" t="s">
        <v>92</v>
      </c>
      <c r="M10" s="10" t="s">
        <v>101</v>
      </c>
      <c r="N10" s="21">
        <v>12</v>
      </c>
      <c r="O10" s="21">
        <v>5</v>
      </c>
      <c r="P10" s="86"/>
      <c r="Q10" s="89"/>
      <c r="R10" s="86"/>
      <c r="S10" s="86"/>
      <c r="T10" s="89"/>
      <c r="U10" s="89"/>
      <c r="V10" s="86"/>
      <c r="W10" s="89"/>
      <c r="X10" s="86"/>
      <c r="Y10" s="89"/>
      <c r="Z10" s="89"/>
      <c r="AA10" s="86"/>
      <c r="AB10" s="10" t="s">
        <v>93</v>
      </c>
      <c r="AC10" s="10" t="s">
        <v>93</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9"/>
      <c r="AP10" s="10" t="s">
        <v>116</v>
      </c>
    </row>
    <row r="11" spans="1:42" x14ac:dyDescent="0.25">
      <c r="A11" s="59">
        <v>44804</v>
      </c>
      <c r="C11" s="78">
        <v>1493</v>
      </c>
      <c r="D11" s="10" t="s">
        <v>117</v>
      </c>
      <c r="E11" s="10">
        <v>9</v>
      </c>
      <c r="F11" s="80">
        <v>634764</v>
      </c>
      <c r="G11" s="80">
        <v>6051172</v>
      </c>
      <c r="H11" s="78" t="s">
        <v>104</v>
      </c>
      <c r="I11" s="11" t="s">
        <v>111</v>
      </c>
      <c r="J11" s="33"/>
      <c r="K11" s="10"/>
      <c r="L11" s="10" t="s">
        <v>97</v>
      </c>
      <c r="M11" s="10" t="s">
        <v>98</v>
      </c>
      <c r="N11" s="89"/>
      <c r="O11" s="89"/>
      <c r="P11" s="86"/>
      <c r="Q11" s="89"/>
      <c r="R11" s="86"/>
      <c r="S11" s="86"/>
      <c r="T11" s="89"/>
      <c r="U11" s="89"/>
      <c r="V11" s="86"/>
      <c r="W11" s="89"/>
      <c r="X11" s="86"/>
      <c r="Y11" s="89"/>
      <c r="Z11" s="89"/>
      <c r="AA11" s="86"/>
      <c r="AB11" s="10" t="s">
        <v>93</v>
      </c>
      <c r="AC11" s="10" t="s">
        <v>93</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Unknown</v>
      </c>
      <c r="AP11" s="10" t="s">
        <v>118</v>
      </c>
    </row>
    <row r="12" spans="1:42" x14ac:dyDescent="0.25">
      <c r="A12" s="59">
        <v>44814</v>
      </c>
      <c r="C12" s="10">
        <v>2022091001</v>
      </c>
      <c r="D12" s="10" t="s">
        <v>117</v>
      </c>
      <c r="E12" s="11">
        <v>9</v>
      </c>
      <c r="F12" s="39">
        <v>590210.74</v>
      </c>
      <c r="G12" s="39">
        <v>6122882.2599999998</v>
      </c>
      <c r="H12" s="11" t="s">
        <v>119</v>
      </c>
      <c r="I12" s="11" t="s">
        <v>120</v>
      </c>
      <c r="J12" s="33"/>
      <c r="K12" s="11" t="s">
        <v>122</v>
      </c>
      <c r="L12" s="10" t="s">
        <v>94</v>
      </c>
      <c r="M12" s="10" t="s">
        <v>124</v>
      </c>
      <c r="N12" s="21">
        <v>1.25</v>
      </c>
      <c r="O12" s="21">
        <v>22</v>
      </c>
      <c r="P12" s="10" t="s">
        <v>93</v>
      </c>
      <c r="Q12" s="86"/>
      <c r="R12" s="10" t="s">
        <v>93</v>
      </c>
      <c r="S12" s="10" t="s">
        <v>93</v>
      </c>
      <c r="T12" s="89"/>
      <c r="U12" s="21">
        <v>1.5</v>
      </c>
      <c r="V12" s="10">
        <v>0</v>
      </c>
      <c r="W12" s="21">
        <v>0.4</v>
      </c>
      <c r="X12" s="10" t="s">
        <v>105</v>
      </c>
      <c r="Y12" s="21">
        <v>1</v>
      </c>
      <c r="Z12" s="21">
        <v>2.8</v>
      </c>
      <c r="AA12" s="10">
        <v>3</v>
      </c>
      <c r="AB12" s="10" t="s">
        <v>93</v>
      </c>
      <c r="AC12" s="10" t="s">
        <v>105</v>
      </c>
      <c r="AD12" s="10" t="s">
        <v>107</v>
      </c>
      <c r="AE12" s="10" t="s">
        <v>125</v>
      </c>
      <c r="AF12" s="20">
        <f t="shared" ref="AF12:AF72" si="8">IF(ISBLANK(Z12), 0, IF(ISBLANK(N12) &lt; 0, 0,Z12 / N12))</f>
        <v>2.2399999999999998</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P12" s="10" t="s">
        <v>126</v>
      </c>
    </row>
    <row r="13" spans="1:42" x14ac:dyDescent="0.25">
      <c r="A13" s="59">
        <v>44814</v>
      </c>
      <c r="C13" s="10">
        <v>2022091002</v>
      </c>
      <c r="D13" s="10" t="s">
        <v>117</v>
      </c>
      <c r="E13" s="11">
        <v>9</v>
      </c>
      <c r="F13" s="39">
        <v>590233.23</v>
      </c>
      <c r="G13" s="39">
        <v>6123183.2699999996</v>
      </c>
      <c r="H13" s="11" t="s">
        <v>119</v>
      </c>
      <c r="I13" s="11" t="s">
        <v>106</v>
      </c>
      <c r="K13" s="11" t="s">
        <v>123</v>
      </c>
      <c r="L13" s="10" t="s">
        <v>94</v>
      </c>
      <c r="M13" s="10" t="s">
        <v>124</v>
      </c>
      <c r="N13" s="21">
        <v>1.5</v>
      </c>
      <c r="O13" s="21">
        <v>27</v>
      </c>
      <c r="P13" s="10" t="s">
        <v>93</v>
      </c>
      <c r="Q13" s="86"/>
      <c r="R13" s="10" t="s">
        <v>93</v>
      </c>
      <c r="S13" s="10" t="s">
        <v>93</v>
      </c>
      <c r="T13" s="86"/>
      <c r="U13" s="21">
        <v>1</v>
      </c>
      <c r="V13" s="10">
        <v>0</v>
      </c>
      <c r="W13" s="21">
        <v>0.2</v>
      </c>
      <c r="X13" s="10" t="s">
        <v>105</v>
      </c>
      <c r="Z13" s="21">
        <v>3.9</v>
      </c>
      <c r="AA13" s="10">
        <v>2.5</v>
      </c>
      <c r="AB13" s="10" t="s">
        <v>93</v>
      </c>
      <c r="AC13" s="10" t="s">
        <v>105</v>
      </c>
      <c r="AE13" s="10" t="s">
        <v>125</v>
      </c>
      <c r="AF13" s="20">
        <f t="shared" si="8"/>
        <v>2.6</v>
      </c>
      <c r="AG13" s="13">
        <f t="shared" si="1"/>
        <v>3</v>
      </c>
      <c r="AH13" s="7">
        <f t="shared" si="2"/>
        <v>10</v>
      </c>
      <c r="AI13" s="7">
        <f t="shared" si="3"/>
        <v>0</v>
      </c>
      <c r="AJ13" s="7">
        <f t="shared" si="4"/>
        <v>0</v>
      </c>
      <c r="AK13" s="7">
        <f t="shared" si="5"/>
        <v>6</v>
      </c>
      <c r="AL13" s="12">
        <f t="shared" si="9"/>
        <v>19</v>
      </c>
      <c r="AM13" s="14" t="str">
        <f t="shared" si="7"/>
        <v>Potential</v>
      </c>
      <c r="AP13" s="10" t="s">
        <v>127</v>
      </c>
    </row>
    <row r="14" spans="1:42" x14ac:dyDescent="0.25">
      <c r="A14" s="59">
        <v>44814</v>
      </c>
      <c r="C14" s="10">
        <v>2022091003</v>
      </c>
      <c r="D14" s="10" t="s">
        <v>117</v>
      </c>
      <c r="E14" s="11">
        <v>9</v>
      </c>
      <c r="F14" s="39">
        <v>590200.88</v>
      </c>
      <c r="G14" s="39">
        <v>6123262.3899999997</v>
      </c>
      <c r="H14" s="11" t="s">
        <v>119</v>
      </c>
      <c r="I14" s="11" t="s">
        <v>121</v>
      </c>
      <c r="K14" s="11" t="s">
        <v>122</v>
      </c>
      <c r="L14" s="10" t="s">
        <v>94</v>
      </c>
      <c r="M14" s="10" t="s">
        <v>124</v>
      </c>
      <c r="N14" s="21">
        <v>1.8</v>
      </c>
      <c r="O14" s="21">
        <v>19</v>
      </c>
      <c r="P14" s="10" t="s">
        <v>93</v>
      </c>
      <c r="Q14" s="86"/>
      <c r="R14" s="10" t="s">
        <v>93</v>
      </c>
      <c r="S14" s="10" t="s">
        <v>93</v>
      </c>
      <c r="T14" s="86"/>
      <c r="AF14" s="20">
        <f t="shared" si="8"/>
        <v>0</v>
      </c>
      <c r="AG14" s="13">
        <f t="shared" si="1"/>
        <v>3</v>
      </c>
      <c r="AH14" s="7">
        <f t="shared" si="2"/>
        <v>10</v>
      </c>
      <c r="AI14" s="7">
        <f t="shared" si="3"/>
        <v>0</v>
      </c>
      <c r="AJ14" s="7">
        <f t="shared" si="4"/>
        <v>0</v>
      </c>
      <c r="AK14" s="7">
        <f t="shared" si="5"/>
        <v>0</v>
      </c>
      <c r="AL14" s="12">
        <f t="shared" si="9"/>
        <v>13</v>
      </c>
      <c r="AM14" s="14" t="str">
        <f t="shared" si="7"/>
        <v>Passable</v>
      </c>
      <c r="AN14" s="86"/>
      <c r="AO14" s="89"/>
      <c r="AP14" s="10" t="s">
        <v>128</v>
      </c>
    </row>
    <row r="15" spans="1:42" x14ac:dyDescent="0.25">
      <c r="A15" s="92"/>
      <c r="C15" s="93"/>
      <c r="D15" s="93"/>
      <c r="E15" s="94"/>
      <c r="F15" s="95"/>
      <c r="G15" s="95"/>
      <c r="H15" s="94"/>
      <c r="I15" s="94"/>
      <c r="J15" s="97"/>
      <c r="K15" s="94"/>
      <c r="L15" s="93"/>
      <c r="M15" s="93"/>
      <c r="N15" s="96"/>
      <c r="O15" s="96"/>
      <c r="P15" s="93"/>
      <c r="Q15" s="93"/>
      <c r="R15" s="93"/>
      <c r="S15" s="93"/>
      <c r="T15" s="96"/>
      <c r="U15" s="96"/>
      <c r="V15" s="93"/>
      <c r="W15" s="96"/>
      <c r="X15" s="93"/>
      <c r="Y15" s="96"/>
      <c r="Z15" s="96"/>
      <c r="AA15" s="93"/>
      <c r="AB15" s="93"/>
      <c r="AC15" s="93"/>
      <c r="AD15" s="93"/>
      <c r="AE15" s="93"/>
      <c r="AF15" s="20">
        <f t="shared" si="8"/>
        <v>0</v>
      </c>
      <c r="AG15" s="13">
        <f t="shared" si="1"/>
        <v>0</v>
      </c>
      <c r="AH15" s="7">
        <f t="shared" si="2"/>
        <v>0</v>
      </c>
      <c r="AI15" s="7">
        <f t="shared" si="3"/>
        <v>0</v>
      </c>
      <c r="AJ15" s="7">
        <f t="shared" si="4"/>
        <v>0</v>
      </c>
      <c r="AK15" s="7">
        <f t="shared" si="5"/>
        <v>0</v>
      </c>
      <c r="AL15" s="12">
        <f t="shared" si="9"/>
        <v>0</v>
      </c>
      <c r="AM15" s="14" t="str">
        <f t="shared" si="7"/>
        <v/>
      </c>
      <c r="AN15" s="93"/>
      <c r="AO15" s="96"/>
      <c r="AP15" s="93"/>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8QCkv4/M2zgLgKbeeImY03UZTovQAvFOkZYKlU5cCcOUBpMuy39jXbY6/1auGgL3eOp1f0hxxXf6AuZtiRh7A==" saltValue="dOuybtXC5APgLe4VUTo9OA=="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1">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11:N15 N5 N7 N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11 M9 M7"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12: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24 and &gt;= 0.01" sqref="Q12" xr:uid="{E8EC4A1A-64C1-4A0E-8EC6-9D2A8F48CEA1}">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3" xr:uid="{E57C23C8-59A0-400A-AD5B-E8ECF4297D21}">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xr:uid="{D2202DBE-B502-42C1-8510-D38D7532CDBA}">
      <formula1>0.01</formula1>
      <formula2>2.49</formula2>
    </dataValidation>
    <dataValidation type="list" allowBlank="1" showInputMessage="1" showErrorMessage="1" errorTitle="Invalid value entered" error="The crossing subtype is not compatible with a crossing type of Closed Bottom Structure" sqref="M8" xr:uid="{6F0007AE-4D7C-4FBA-B27B-B1428271200B}">
      <formula1>"Round Culvert,Oval Culvert,Concrete Box"</formula1>
    </dataValidation>
    <dataValidation type="decimal" allowBlank="1" showInputMessage="1" showErrorMessage="1" errorTitle="Invalid Diamter or Span" error="The Diameter or Span entered is invalid. Diameter or Span must be &gt; 0 and &lt; 300" sqref="N8" xr:uid="{41907CB3-D2D0-4A47-9009-5834F82A6B4E}">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8" xr:uid="{883894EA-3AB1-4757-99EE-B4E53C4FB4EE}">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2022-11-10T04:11:59Z</dcterms:modified>
</cp:coreProperties>
</file>