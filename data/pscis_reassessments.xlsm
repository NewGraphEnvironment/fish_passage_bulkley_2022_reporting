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defaultThemeVersion="124226"/>
  <mc:AlternateContent xmlns:mc="http://schemas.openxmlformats.org/markup-compatibility/2006">
    <mc:Choice Requires="x15">
      <x15ac:absPath xmlns:x15ac="http://schemas.microsoft.com/office/spreadsheetml/2010/11/ac" url="https://d.docs.live.net/d3d3332e1628a93c/Projects/submissions/PSCIS/archive/reassessments_submissions/PSCIS_bulkley_2022_reassessments/"/>
    </mc:Choice>
  </mc:AlternateContent>
  <xr:revisionPtr revIDLastSave="2" documentId="13_ncr:1_{7C1F52D0-8BA1-5241-A574-77BCFDBC243B}" xr6:coauthVersionLast="47" xr6:coauthVersionMax="47" xr10:uidLastSave="{BEE497F5-3D6B-9A4B-BF58-75DEB695135A}"/>
  <bookViews>
    <workbookView xWindow="0" yWindow="640" windowWidth="29040" windowHeight="15720" firstSheet="1"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L6" i="2" s="1"/>
  <c r="AM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c r="AL597" i="2" s="1"/>
  <c r="AG597" i="2"/>
  <c r="AH597" i="2"/>
  <c r="AI597" i="2"/>
  <c r="AJ597" i="2"/>
  <c r="AF598" i="2"/>
  <c r="AK598" i="2"/>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L950" i="2" s="1"/>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L1093" i="2" s="1"/>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H1308" i="2"/>
  <c r="AI1308" i="2"/>
  <c r="AL1308" i="2" s="1"/>
  <c r="AJ1308" i="2"/>
  <c r="AF1309" i="2"/>
  <c r="AK1309" i="2" s="1"/>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L1356" i="2" s="1"/>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L1590" i="2" s="1"/>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s="1"/>
  <c r="AG1818" i="2"/>
  <c r="AH1818" i="2"/>
  <c r="AI1818" i="2"/>
  <c r="AL1818" i="2" s="1"/>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H2124" i="2"/>
  <c r="AL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c r="AG2150" i="2"/>
  <c r="AH2150" i="2"/>
  <c r="AI2150" i="2"/>
  <c r="AJ2150" i="2"/>
  <c r="AF2151" i="2"/>
  <c r="AK2151" i="2" s="1"/>
  <c r="AG2151" i="2"/>
  <c r="AH2151" i="2"/>
  <c r="AL2151" i="2" s="1"/>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L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L2263" i="2" s="1"/>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s="1"/>
  <c r="AG2357" i="2"/>
  <c r="AH2357" i="2"/>
  <c r="AI2357" i="2"/>
  <c r="AL2357" i="2" s="1"/>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H2366" i="2"/>
  <c r="AL2366" i="2" s="1"/>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s="1"/>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L2406" i="2" s="1"/>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s="1"/>
  <c r="AG2478" i="2"/>
  <c r="AH2478" i="2"/>
  <c r="AI2478" i="2"/>
  <c r="AJ2478" i="2"/>
  <c r="AF2479" i="2"/>
  <c r="AK2479" i="2" s="1"/>
  <c r="AL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L2522" i="2" s="1"/>
  <c r="AJ2522" i="2"/>
  <c r="AF2523" i="2"/>
  <c r="AK2523" i="2"/>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c r="AG2542" i="2"/>
  <c r="AL2542" i="2" s="1"/>
  <c r="AH2542" i="2"/>
  <c r="AI2542" i="2"/>
  <c r="AJ2542" i="2"/>
  <c r="AF2543" i="2"/>
  <c r="AK2543" i="2" s="1"/>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c r="AG2568" i="2"/>
  <c r="AH2568" i="2"/>
  <c r="AL2568" i="2" s="1"/>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s="1"/>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L2689" i="2"/>
  <c r="AH2689" i="2"/>
  <c r="AI2689" i="2"/>
  <c r="AJ2689" i="2"/>
  <c r="AF2690" i="2"/>
  <c r="AK2690" i="2" s="1"/>
  <c r="AG2690" i="2"/>
  <c r="AH2690" i="2"/>
  <c r="AI2690" i="2"/>
  <c r="AL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L2799" i="2" s="1"/>
  <c r="AG2799" i="2"/>
  <c r="AH2799" i="2"/>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F3254" i="2"/>
  <c r="AK3254" i="2" s="1"/>
  <c r="AG3254" i="2"/>
  <c r="AH3254" i="2"/>
  <c r="AL3254" i="2" s="1"/>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J3328" i="2"/>
  <c r="AF3329" i="2"/>
  <c r="AK3329" i="2"/>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c r="AL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I3468" i="2"/>
  <c r="AL3468" i="2" s="1"/>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c r="AG3481" i="2"/>
  <c r="AH3481" i="2"/>
  <c r="AI3481" i="2"/>
  <c r="AL3481" i="2" s="1"/>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s="1"/>
  <c r="AG3493" i="2"/>
  <c r="AH3493" i="2"/>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L3498" i="2" s="1"/>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L3526" i="2" s="1"/>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c r="AG3531" i="2"/>
  <c r="AH3531" i="2"/>
  <c r="AL3531" i="2" s="1"/>
  <c r="AI3531" i="2"/>
  <c r="AJ3531" i="2"/>
  <c r="AF3532" i="2"/>
  <c r="AK3532" i="2" s="1"/>
  <c r="AG3532" i="2"/>
  <c r="AH3532" i="2"/>
  <c r="AI3532" i="2"/>
  <c r="AJ3532" i="2"/>
  <c r="AL3532" i="2" s="1"/>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L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L3609" i="2" s="1"/>
  <c r="AG3609" i="2"/>
  <c r="AH3609" i="2"/>
  <c r="AI3609" i="2"/>
  <c r="AJ3609" i="2"/>
  <c r="AF3610" i="2"/>
  <c r="AK3610" i="2" s="1"/>
  <c r="AG3610" i="2"/>
  <c r="AL3610" i="2"/>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s="1"/>
  <c r="AG3628" i="2"/>
  <c r="AL3628" i="2" s="1"/>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L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L3665" i="2" s="1"/>
  <c r="AG3665" i="2"/>
  <c r="AH3665" i="2"/>
  <c r="AI3665" i="2"/>
  <c r="AJ3665" i="2"/>
  <c r="AF3666" i="2"/>
  <c r="AK3666" i="2" s="1"/>
  <c r="AG3666" i="2"/>
  <c r="AH3666" i="2"/>
  <c r="AI3666" i="2"/>
  <c r="AL3666" i="2" s="1"/>
  <c r="AJ3666" i="2"/>
  <c r="AF3667" i="2"/>
  <c r="AK3667" i="2"/>
  <c r="AG3667" i="2"/>
  <c r="AH3667" i="2"/>
  <c r="AI3667" i="2"/>
  <c r="AJ3667" i="2"/>
  <c r="AF3668" i="2"/>
  <c r="AK3668" i="2" s="1"/>
  <c r="AL3668" i="2" s="1"/>
  <c r="AG3668" i="2"/>
  <c r="AH3668" i="2"/>
  <c r="AI3668" i="2"/>
  <c r="AJ3668" i="2"/>
  <c r="AF3669" i="2"/>
  <c r="AK3669" i="2" s="1"/>
  <c r="AG3669" i="2"/>
  <c r="AH3669" i="2"/>
  <c r="AL3669" i="2" s="1"/>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L3679" i="2" s="1"/>
  <c r="AF3680" i="2"/>
  <c r="AK3680" i="2"/>
  <c r="AG3680" i="2"/>
  <c r="AH3680" i="2"/>
  <c r="AI3680" i="2"/>
  <c r="AJ3680" i="2"/>
  <c r="AF3681" i="2"/>
  <c r="AK3681" i="2"/>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c r="AG3695" i="2"/>
  <c r="AL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L3712" i="2" s="1"/>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L3726" i="2" s="1"/>
  <c r="AI3726" i="2"/>
  <c r="AJ3726" i="2"/>
  <c r="AF3727" i="2"/>
  <c r="AK3727" i="2" s="1"/>
  <c r="AG3727" i="2"/>
  <c r="AH3727" i="2"/>
  <c r="AI3727" i="2"/>
  <c r="AJ3727" i="2"/>
  <c r="AF3728" i="2"/>
  <c r="AK3728" i="2"/>
  <c r="AL3728" i="2" s="1"/>
  <c r="AG3728" i="2"/>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L3740" i="2" s="1"/>
  <c r="AH3740" i="2"/>
  <c r="AI3740" i="2"/>
  <c r="AJ3740" i="2"/>
  <c r="AF3741" i="2"/>
  <c r="AK3741" i="2" s="1"/>
  <c r="AG3741" i="2"/>
  <c r="AH3741" i="2"/>
  <c r="AL3741" i="2" s="1"/>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L3775" i="2" s="1"/>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L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L3835" i="2" s="1"/>
  <c r="AF3836" i="2"/>
  <c r="AK3836" i="2"/>
  <c r="AG3836" i="2"/>
  <c r="AH3836" i="2"/>
  <c r="AI3836" i="2"/>
  <c r="AJ3836" i="2"/>
  <c r="AF3837" i="2"/>
  <c r="AK3837" i="2" s="1"/>
  <c r="AL3837" i="2" s="1"/>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L3883" i="2" s="1"/>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L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L3928" i="2" s="1"/>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s="1"/>
  <c r="AG3942" i="2"/>
  <c r="AH3942" i="2"/>
  <c r="AI3942" i="2"/>
  <c r="AJ3942" i="2"/>
  <c r="AF3943" i="2"/>
  <c r="AK3943" i="2" s="1"/>
  <c r="AL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s="1"/>
  <c r="AG3948" i="2"/>
  <c r="AH3948" i="2"/>
  <c r="AI3948" i="2"/>
  <c r="AJ3948" i="2"/>
  <c r="AL3948" i="2" s="1"/>
  <c r="AF3949" i="2"/>
  <c r="AK3949" i="2"/>
  <c r="AG3949" i="2"/>
  <c r="AH3949" i="2"/>
  <c r="AI3949" i="2"/>
  <c r="AJ3949" i="2"/>
  <c r="AF3950" i="2"/>
  <c r="AK3950" i="2"/>
  <c r="AL3950" i="2" s="1"/>
  <c r="AG3950" i="2"/>
  <c r="AH3950" i="2"/>
  <c r="AI3950" i="2"/>
  <c r="AJ3950" i="2"/>
  <c r="AF3951" i="2"/>
  <c r="AK3951" i="2"/>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s="1"/>
  <c r="AL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L3971" i="2" s="1"/>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L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L4014" i="2" s="1"/>
  <c r="AF4015" i="2"/>
  <c r="AK4015" i="2" s="1"/>
  <c r="AG4015" i="2"/>
  <c r="AH4015" i="2"/>
  <c r="AI4015" i="2"/>
  <c r="AJ4015" i="2"/>
  <c r="AF4016" i="2"/>
  <c r="AK4016" i="2"/>
  <c r="AG4016" i="2"/>
  <c r="AL4016" i="2" s="1"/>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L4040" i="2" s="1"/>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L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s="1"/>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c r="AG4103" i="2"/>
  <c r="AH4103" i="2"/>
  <c r="AI4103" i="2"/>
  <c r="AJ4103" i="2"/>
  <c r="AF4104" i="2"/>
  <c r="AK4104" i="2"/>
  <c r="AL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L4111" i="2" s="1"/>
  <c r="AJ4111" i="2"/>
  <c r="AF4112" i="2"/>
  <c r="AK4112" i="2"/>
  <c r="AG4112" i="2"/>
  <c r="AH4112" i="2"/>
  <c r="AI4112" i="2"/>
  <c r="AJ4112" i="2"/>
  <c r="AF4113" i="2"/>
  <c r="AK4113" i="2" s="1"/>
  <c r="AL4113" i="2" s="1"/>
  <c r="AG4113" i="2"/>
  <c r="AH4113" i="2"/>
  <c r="AI4113" i="2"/>
  <c r="AJ4113" i="2"/>
  <c r="AF4114" i="2"/>
  <c r="AK4114" i="2"/>
  <c r="AL4114" i="2"/>
  <c r="AG4114" i="2"/>
  <c r="AH4114" i="2"/>
  <c r="AI4114" i="2"/>
  <c r="AJ4114" i="2"/>
  <c r="AF4115" i="2"/>
  <c r="AK4115" i="2" s="1"/>
  <c r="AG4115" i="2"/>
  <c r="AH4115" i="2"/>
  <c r="AI4115" i="2"/>
  <c r="AJ4115" i="2"/>
  <c r="AF4116" i="2"/>
  <c r="AK4116" i="2" s="1"/>
  <c r="AG4116" i="2"/>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L4122" i="2" s="1"/>
  <c r="AG4122" i="2"/>
  <c r="AH4122" i="2"/>
  <c r="AI4122" i="2"/>
  <c r="AJ4122" i="2"/>
  <c r="AF4123" i="2"/>
  <c r="AK4123" i="2" s="1"/>
  <c r="AL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c r="AG4158" i="2"/>
  <c r="AL4158" i="2" s="1"/>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L4183" i="2" s="1"/>
  <c r="AG4183" i="2"/>
  <c r="AH4183" i="2"/>
  <c r="AI4183" i="2"/>
  <c r="AJ4183" i="2"/>
  <c r="AF4184" i="2"/>
  <c r="AK4184" i="2"/>
  <c r="AG4184" i="2"/>
  <c r="AH4184" i="2"/>
  <c r="AI4184" i="2"/>
  <c r="AJ4184" i="2"/>
  <c r="AF4185" i="2"/>
  <c r="AK4185" i="2"/>
  <c r="AG4185" i="2"/>
  <c r="AH4185" i="2"/>
  <c r="AI4185" i="2"/>
  <c r="AL4185" i="2" s="1"/>
  <c r="AJ4185" i="2"/>
  <c r="AF4186" i="2"/>
  <c r="AK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L4194" i="2" s="1"/>
  <c r="AH4194" i="2"/>
  <c r="AI4194" i="2"/>
  <c r="AJ4194" i="2"/>
  <c r="AF4195" i="2"/>
  <c r="AK4195" i="2"/>
  <c r="AG4195" i="2"/>
  <c r="AH4195" i="2"/>
  <c r="AL4195" i="2"/>
  <c r="AI4195" i="2"/>
  <c r="AJ4195" i="2"/>
  <c r="AF4196" i="2"/>
  <c r="AK4196" i="2" s="1"/>
  <c r="AG4196" i="2"/>
  <c r="AH4196" i="2"/>
  <c r="AI4196" i="2"/>
  <c r="AJ4196" i="2"/>
  <c r="AF4197" i="2"/>
  <c r="AK4197" i="2" s="1"/>
  <c r="AL4197" i="2" s="1"/>
  <c r="AG4197" i="2"/>
  <c r="AH4197" i="2"/>
  <c r="AI4197" i="2"/>
  <c r="AJ4197" i="2"/>
  <c r="AF4198" i="2"/>
  <c r="AK4198" i="2"/>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L4216" i="2" s="1"/>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c r="AG4265" i="2"/>
  <c r="AH4265" i="2"/>
  <c r="AL4265" i="2" s="1"/>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I4271" i="2"/>
  <c r="AL4271" i="2"/>
  <c r="AJ4271" i="2"/>
  <c r="AF4272" i="2"/>
  <c r="AK4272" i="2" s="1"/>
  <c r="AG4272" i="2"/>
  <c r="AH4272" i="2"/>
  <c r="AI4272" i="2"/>
  <c r="AJ4272" i="2"/>
  <c r="AF4273" i="2"/>
  <c r="AK4273" i="2" s="1"/>
  <c r="AG4273" i="2"/>
  <c r="AH4273" i="2"/>
  <c r="AI4273" i="2"/>
  <c r="AJ4273" i="2"/>
  <c r="AF4274" i="2"/>
  <c r="AK4274" i="2" s="1"/>
  <c r="AL4274" i="2" s="1"/>
  <c r="AG4274" i="2"/>
  <c r="AH4274" i="2"/>
  <c r="AI4274" i="2"/>
  <c r="AJ4274" i="2"/>
  <c r="AF4275" i="2"/>
  <c r="AK4275" i="2" s="1"/>
  <c r="AL4275" i="2" s="1"/>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s="1"/>
  <c r="AL4279" i="2" s="1"/>
  <c r="AG4279" i="2"/>
  <c r="AH4279" i="2"/>
  <c r="AI4279" i="2"/>
  <c r="AJ4279" i="2"/>
  <c r="AF4280" i="2"/>
  <c r="AK4280" i="2"/>
  <c r="AG4280" i="2"/>
  <c r="AL4280" i="2" s="1"/>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K4286" i="2" s="1"/>
  <c r="AL4286" i="2" s="1"/>
  <c r="AG4286" i="2"/>
  <c r="AH4286" i="2"/>
  <c r="AI4286" i="2"/>
  <c r="AJ4286" i="2"/>
  <c r="AF4287" i="2"/>
  <c r="AK4287" i="2" s="1"/>
  <c r="AG4287" i="2"/>
  <c r="AH4287" i="2"/>
  <c r="AI4287" i="2"/>
  <c r="AJ4287" i="2"/>
  <c r="AF4288" i="2"/>
  <c r="AK4288" i="2"/>
  <c r="AG4288" i="2"/>
  <c r="AH4288" i="2"/>
  <c r="AI4288" i="2"/>
  <c r="AJ4288" i="2"/>
  <c r="AF4289" i="2"/>
  <c r="AK4289" i="2" s="1"/>
  <c r="AL4289" i="2" s="1"/>
  <c r="AG4289" i="2"/>
  <c r="AH4289" i="2"/>
  <c r="AI4289" i="2"/>
  <c r="AJ4289" i="2"/>
  <c r="AF4290" i="2"/>
  <c r="AK4290" i="2"/>
  <c r="AG4290" i="2"/>
  <c r="AH4290" i="2"/>
  <c r="AI4290" i="2"/>
  <c r="AJ4290" i="2"/>
  <c r="AF4291" i="2"/>
  <c r="AK4291" i="2"/>
  <c r="AG4291" i="2"/>
  <c r="AH4291" i="2"/>
  <c r="AI4291" i="2"/>
  <c r="AJ4291" i="2"/>
  <c r="AF4292" i="2"/>
  <c r="AK4292" i="2" s="1"/>
  <c r="AL4292" i="2" s="1"/>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s="1"/>
  <c r="AG4305" i="2"/>
  <c r="AH4305" i="2"/>
  <c r="AI4305" i="2"/>
  <c r="AJ4305" i="2"/>
  <c r="AF4306" i="2"/>
  <c r="AK4306" i="2" s="1"/>
  <c r="AL4306" i="2" s="1"/>
  <c r="AG4306" i="2"/>
  <c r="AH4306" i="2"/>
  <c r="AI4306" i="2"/>
  <c r="AJ4306" i="2"/>
  <c r="AF4307" i="2"/>
  <c r="AK4307" i="2" s="1"/>
  <c r="AL4307" i="2" s="1"/>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s="1"/>
  <c r="AL4311" i="2" s="1"/>
  <c r="AG4311" i="2"/>
  <c r="AH4311" i="2"/>
  <c r="AI4311" i="2"/>
  <c r="AJ4311" i="2"/>
  <c r="AF4312" i="2"/>
  <c r="AK4312" i="2"/>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c r="AG4321" i="2"/>
  <c r="AH4321" i="2"/>
  <c r="AI4321" i="2"/>
  <c r="AJ4321" i="2"/>
  <c r="AF4322" i="2"/>
  <c r="AK4322" i="2" s="1"/>
  <c r="AG4322" i="2"/>
  <c r="AH4322" i="2"/>
  <c r="AL4322" i="2" s="1"/>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L4331" i="2" s="1"/>
  <c r="AI4331" i="2"/>
  <c r="AJ4331" i="2"/>
  <c r="AF4332" i="2"/>
  <c r="AK4332" i="2" s="1"/>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J4372" i="2"/>
  <c r="AF4373" i="2"/>
  <c r="AK4373" i="2" s="1"/>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L4389" i="2"/>
  <c r="AH4389" i="2"/>
  <c r="AI4389" i="2"/>
  <c r="AJ4389" i="2"/>
  <c r="AF4390" i="2"/>
  <c r="AK4390" i="2"/>
  <c r="AG4390" i="2"/>
  <c r="AH4390" i="2"/>
  <c r="AI4390" i="2"/>
  <c r="AJ4390" i="2"/>
  <c r="AF4391" i="2"/>
  <c r="AK4391" i="2" s="1"/>
  <c r="AG4391" i="2"/>
  <c r="AH4391" i="2"/>
  <c r="AI4391" i="2"/>
  <c r="AJ4391" i="2"/>
  <c r="AF4392" i="2"/>
  <c r="AK4392" i="2"/>
  <c r="AL4392" i="2" s="1"/>
  <c r="AG4392" i="2"/>
  <c r="AH4392" i="2"/>
  <c r="AI4392" i="2"/>
  <c r="AJ4392" i="2"/>
  <c r="AF4393" i="2"/>
  <c r="AK4393" i="2"/>
  <c r="AG4393" i="2"/>
  <c r="AH4393" i="2"/>
  <c r="AL4393" i="2" s="1"/>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L4403" i="2" s="1"/>
  <c r="AH4403" i="2"/>
  <c r="AI4403" i="2"/>
  <c r="AJ4403" i="2"/>
  <c r="AF4404" i="2"/>
  <c r="AK4404" i="2" s="1"/>
  <c r="AG4404" i="2"/>
  <c r="AH4404" i="2"/>
  <c r="AI4404" i="2"/>
  <c r="AJ4404" i="2"/>
  <c r="AF4405" i="2"/>
  <c r="AK4405" i="2" s="1"/>
  <c r="AG4405" i="2"/>
  <c r="AH4405" i="2"/>
  <c r="AI4405" i="2"/>
  <c r="AJ4405" i="2"/>
  <c r="AF4406" i="2"/>
  <c r="AG4406" i="2"/>
  <c r="AL4406" i="2" s="1"/>
  <c r="AH4406" i="2"/>
  <c r="AI4406" i="2"/>
  <c r="AJ4406" i="2"/>
  <c r="AK4406" i="2"/>
  <c r="AF4407" i="2"/>
  <c r="AK4407" i="2" s="1"/>
  <c r="AG4407" i="2"/>
  <c r="AL4407" i="2" s="1"/>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H4422" i="2"/>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L4426" i="2" s="1"/>
  <c r="AI4426" i="2"/>
  <c r="AJ4426" i="2"/>
  <c r="AF4427" i="2"/>
  <c r="AK4427" i="2" s="1"/>
  <c r="AG4427" i="2"/>
  <c r="AH4427" i="2"/>
  <c r="AI4427" i="2"/>
  <c r="AJ4427" i="2"/>
  <c r="AF4428" i="2"/>
  <c r="AK4428" i="2" s="1"/>
  <c r="AG4428" i="2"/>
  <c r="AH4428" i="2"/>
  <c r="AI4428" i="2"/>
  <c r="AJ4428" i="2"/>
  <c r="AF4429" i="2"/>
  <c r="AK4429" i="2"/>
  <c r="AG4429" i="2"/>
  <c r="AH4429" i="2"/>
  <c r="AI4429" i="2"/>
  <c r="AJ4429" i="2"/>
  <c r="AF4430" i="2"/>
  <c r="AK4430" i="2" s="1"/>
  <c r="AG4430" i="2"/>
  <c r="AH4430" i="2"/>
  <c r="AL4430" i="2" s="1"/>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L4451" i="2" s="1"/>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L4455" i="2" s="1"/>
  <c r="AF4456" i="2"/>
  <c r="AK4456" i="2"/>
  <c r="AG4456" i="2"/>
  <c r="AH4456" i="2"/>
  <c r="AI4456" i="2"/>
  <c r="AJ4456" i="2"/>
  <c r="AF4457" i="2"/>
  <c r="AK4457" i="2"/>
  <c r="AG4457" i="2"/>
  <c r="AH4457" i="2"/>
  <c r="AI4457" i="2"/>
  <c r="AJ4457" i="2"/>
  <c r="AF4458" i="2"/>
  <c r="AK4458" i="2"/>
  <c r="AG4458" i="2"/>
  <c r="AL4458" i="2" s="1"/>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I4462" i="2"/>
  <c r="AJ4462" i="2"/>
  <c r="AF4463" i="2"/>
  <c r="AK4463" i="2" s="1"/>
  <c r="AG4463" i="2"/>
  <c r="AH4463" i="2"/>
  <c r="AI4463" i="2"/>
  <c r="AJ4463" i="2"/>
  <c r="AF4464" i="2"/>
  <c r="AK4464" i="2"/>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c r="AI4472" i="2"/>
  <c r="AJ4472" i="2"/>
  <c r="AF4473" i="2"/>
  <c r="AK4473" i="2" s="1"/>
  <c r="AG4473" i="2"/>
  <c r="AH4473" i="2"/>
  <c r="AI4473" i="2"/>
  <c r="AL4473" i="2" s="1"/>
  <c r="AJ4473" i="2"/>
  <c r="AF4474" i="2"/>
  <c r="AK4474" i="2"/>
  <c r="AG4474" i="2"/>
  <c r="AH4474" i="2"/>
  <c r="AI4474" i="2"/>
  <c r="AJ4474" i="2"/>
  <c r="AL4474" i="2" s="1"/>
  <c r="AF4475" i="2"/>
  <c r="AK4475" i="2" s="1"/>
  <c r="AG4475" i="2"/>
  <c r="AH4475" i="2"/>
  <c r="AI4475" i="2"/>
  <c r="AJ4475" i="2"/>
  <c r="AF4476" i="2"/>
  <c r="AK4476" i="2"/>
  <c r="AG4476" i="2"/>
  <c r="AL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L4480" i="2" s="1"/>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H4484" i="2"/>
  <c r="AL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G4510" i="2"/>
  <c r="AH4510" i="2"/>
  <c r="AI4510" i="2"/>
  <c r="AJ4510" i="2"/>
  <c r="AF4511" i="2"/>
  <c r="AK4511" i="2" s="1"/>
  <c r="AG4511" i="2"/>
  <c r="AH4511" i="2"/>
  <c r="AI4511" i="2"/>
  <c r="AJ4511" i="2"/>
  <c r="AL4511" i="2" s="1"/>
  <c r="AF4512" i="2"/>
  <c r="AK4512" i="2"/>
  <c r="AG4512" i="2"/>
  <c r="AH4512" i="2"/>
  <c r="AI4512" i="2"/>
  <c r="AJ4512" i="2"/>
  <c r="AF4513" i="2"/>
  <c r="AK4513" i="2"/>
  <c r="AG4513" i="2"/>
  <c r="AL4513" i="2" s="1"/>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L4530" i="2" s="1"/>
  <c r="AJ4530" i="2"/>
  <c r="AF4531" i="2"/>
  <c r="AK4531" i="2"/>
  <c r="AG4531" i="2"/>
  <c r="AH4531" i="2"/>
  <c r="AI4531" i="2"/>
  <c r="AJ4531" i="2"/>
  <c r="AF4532" i="2"/>
  <c r="AK4532" i="2" s="1"/>
  <c r="AG4532" i="2"/>
  <c r="AH4532" i="2"/>
  <c r="AI4532" i="2"/>
  <c r="AJ4532" i="2"/>
  <c r="AF4533" i="2"/>
  <c r="AK4533" i="2"/>
  <c r="AG4533" i="2"/>
  <c r="AH4533" i="2"/>
  <c r="AI4533" i="2"/>
  <c r="AJ4533" i="2"/>
  <c r="AF4534" i="2"/>
  <c r="AK4534" i="2" s="1"/>
  <c r="AG4534" i="2"/>
  <c r="AH4534" i="2"/>
  <c r="AI4534" i="2"/>
  <c r="AL4534" i="2" s="1"/>
  <c r="AJ4534" i="2"/>
  <c r="AF4535" i="2"/>
  <c r="AK4535" i="2"/>
  <c r="AL4535" i="2" s="1"/>
  <c r="AG4535" i="2"/>
  <c r="AH4535" i="2"/>
  <c r="AI4535" i="2"/>
  <c r="AJ4535" i="2"/>
  <c r="AF4536" i="2"/>
  <c r="AK4536" i="2"/>
  <c r="AG4536" i="2"/>
  <c r="AL4536" i="2" s="1"/>
  <c r="AH4536" i="2"/>
  <c r="AI4536" i="2"/>
  <c r="AJ4536" i="2"/>
  <c r="AF4537" i="2"/>
  <c r="AK4537" i="2" s="1"/>
  <c r="AG4537" i="2"/>
  <c r="AH4537" i="2"/>
  <c r="AI4537" i="2"/>
  <c r="AJ4537" i="2"/>
  <c r="AF4538" i="2"/>
  <c r="AK4538" i="2" s="1"/>
  <c r="AG4538" i="2"/>
  <c r="AH4538" i="2"/>
  <c r="AI4538" i="2"/>
  <c r="AJ4538" i="2"/>
  <c r="AF4539" i="2"/>
  <c r="AK4539" i="2"/>
  <c r="AL4539" i="2" s="1"/>
  <c r="AG4539" i="2"/>
  <c r="AH4539" i="2"/>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L4544" i="2" s="1"/>
  <c r="AJ4544" i="2"/>
  <c r="AF4545" i="2"/>
  <c r="AK4545" i="2"/>
  <c r="AG4545" i="2"/>
  <c r="AH4545" i="2"/>
  <c r="AI4545" i="2"/>
  <c r="AJ4545" i="2"/>
  <c r="AF4546" i="2"/>
  <c r="AK4546" i="2"/>
  <c r="AG4546" i="2"/>
  <c r="AH4546" i="2"/>
  <c r="AI4546" i="2"/>
  <c r="AJ4546" i="2"/>
  <c r="AF4547" i="2"/>
  <c r="AK4547" i="2"/>
  <c r="AG4547" i="2"/>
  <c r="AL4547" i="2" s="1"/>
  <c r="AH4547" i="2"/>
  <c r="AI4547" i="2"/>
  <c r="AJ4547" i="2"/>
  <c r="AF4548" i="2"/>
  <c r="AK4548" i="2"/>
  <c r="AG4548" i="2"/>
  <c r="AL4548" i="2" s="1"/>
  <c r="AH4548" i="2"/>
  <c r="AI4548" i="2"/>
  <c r="AJ4548" i="2"/>
  <c r="AF4549" i="2"/>
  <c r="AK4549" i="2"/>
  <c r="AG4549" i="2"/>
  <c r="AH4549" i="2"/>
  <c r="AI4549" i="2"/>
  <c r="AL4549" i="2" s="1"/>
  <c r="AJ4549" i="2"/>
  <c r="AF4550" i="2"/>
  <c r="AK4550" i="2"/>
  <c r="AG4550" i="2"/>
  <c r="AH4550" i="2"/>
  <c r="AI4550" i="2"/>
  <c r="AJ4550" i="2"/>
  <c r="AF4551" i="2"/>
  <c r="AK4551" i="2" s="1"/>
  <c r="AL4551" i="2" s="1"/>
  <c r="AG4551" i="2"/>
  <c r="AH4551" i="2"/>
  <c r="AI4551" i="2"/>
  <c r="AJ4551" i="2"/>
  <c r="AF4552" i="2"/>
  <c r="AK4552" i="2"/>
  <c r="AG4552" i="2"/>
  <c r="AL4552" i="2" s="1"/>
  <c r="AH4552" i="2"/>
  <c r="AI4552" i="2"/>
  <c r="AJ4552" i="2"/>
  <c r="AF4553" i="2"/>
  <c r="AG4553" i="2"/>
  <c r="AH4553" i="2"/>
  <c r="AI4553" i="2"/>
  <c r="AJ4553" i="2"/>
  <c r="AL4553" i="2" s="1"/>
  <c r="AK4553" i="2"/>
  <c r="AF4554" i="2"/>
  <c r="AK4554" i="2"/>
  <c r="AG4554" i="2"/>
  <c r="AH4554" i="2"/>
  <c r="AI4554" i="2"/>
  <c r="AJ4554" i="2"/>
  <c r="AF4555" i="2"/>
  <c r="AK4555" i="2" s="1"/>
  <c r="AL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c r="AG4561" i="2"/>
  <c r="AH4561" i="2"/>
  <c r="AI4561" i="2"/>
  <c r="AJ4561" i="2"/>
  <c r="AF4562" i="2"/>
  <c r="AK4562" i="2"/>
  <c r="AG4562" i="2"/>
  <c r="AL4562" i="2" s="1"/>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c r="AG4589" i="2"/>
  <c r="AH4589" i="2"/>
  <c r="AI4589" i="2"/>
  <c r="AJ4589" i="2"/>
  <c r="AF4590" i="2"/>
  <c r="AK4590" i="2"/>
  <c r="AL4590" i="2" s="1"/>
  <c r="AG4590" i="2"/>
  <c r="AH4590" i="2"/>
  <c r="AI4590" i="2"/>
  <c r="AJ4590" i="2"/>
  <c r="AF4591" i="2"/>
  <c r="AK4591" i="2"/>
  <c r="AG4591" i="2"/>
  <c r="AH4591" i="2"/>
  <c r="AI4591" i="2"/>
  <c r="AJ4591" i="2"/>
  <c r="AF4592" i="2"/>
  <c r="AK4592" i="2" s="1"/>
  <c r="AG4592" i="2"/>
  <c r="AH4592" i="2"/>
  <c r="AL4592" i="2" s="1"/>
  <c r="AI4592" i="2"/>
  <c r="AJ4592" i="2"/>
  <c r="AF4593" i="2"/>
  <c r="AK4593" i="2" s="1"/>
  <c r="AG4593" i="2"/>
  <c r="AH4593" i="2"/>
  <c r="AI4593" i="2"/>
  <c r="AJ4593" i="2"/>
  <c r="AL4593" i="2" s="1"/>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s="1"/>
  <c r="AL4601" i="2" s="1"/>
  <c r="AG4601" i="2"/>
  <c r="AH4601" i="2"/>
  <c r="AI4601" i="2"/>
  <c r="AJ4601" i="2"/>
  <c r="AF4602" i="2"/>
  <c r="AK4602" i="2"/>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L4606" i="2" s="1"/>
  <c r="AG4606" i="2"/>
  <c r="AH4606" i="2"/>
  <c r="AI4606" i="2"/>
  <c r="AJ4606" i="2"/>
  <c r="AF4607" i="2"/>
  <c r="AK4607" i="2"/>
  <c r="AG4607" i="2"/>
  <c r="AH4607" i="2"/>
  <c r="AI4607" i="2"/>
  <c r="AJ4607" i="2"/>
  <c r="AF4608" i="2"/>
  <c r="AK4608" i="2"/>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L4613" i="2" s="1"/>
  <c r="AJ4613" i="2"/>
  <c r="AF4614" i="2"/>
  <c r="AK4614" i="2"/>
  <c r="AG4614" i="2"/>
  <c r="AH4614" i="2"/>
  <c r="AI4614" i="2"/>
  <c r="AJ4614" i="2"/>
  <c r="AL4614" i="2" s="1"/>
  <c r="AF4615" i="2"/>
  <c r="AK4615" i="2"/>
  <c r="AG4615" i="2"/>
  <c r="AH4615" i="2"/>
  <c r="AI4615" i="2"/>
  <c r="AJ4615" i="2"/>
  <c r="AF4616" i="2"/>
  <c r="AK4616" i="2"/>
  <c r="AL4616" i="2" s="1"/>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L4620" i="2"/>
  <c r="AI4620" i="2"/>
  <c r="AJ4620" i="2"/>
  <c r="AF4621" i="2"/>
  <c r="AK4621" i="2" s="1"/>
  <c r="AG4621" i="2"/>
  <c r="AL4621" i="2" s="1"/>
  <c r="AH4621" i="2"/>
  <c r="AI4621" i="2"/>
  <c r="AJ4621" i="2"/>
  <c r="AF4622" i="2"/>
  <c r="AK4622" i="2" s="1"/>
  <c r="AG4622" i="2"/>
  <c r="AH4622" i="2"/>
  <c r="AI4622" i="2"/>
  <c r="AJ4622" i="2"/>
  <c r="AF4623" i="2"/>
  <c r="AK4623" i="2" s="1"/>
  <c r="AL4623" i="2" s="1"/>
  <c r="AG4623" i="2"/>
  <c r="AH4623" i="2"/>
  <c r="AI4623" i="2"/>
  <c r="AJ4623" i="2"/>
  <c r="AF4624" i="2"/>
  <c r="AK4624" i="2" s="1"/>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L4627" i="2" s="1"/>
  <c r="AF4628" i="2"/>
  <c r="AK4628" i="2"/>
  <c r="AG4628" i="2"/>
  <c r="AH4628" i="2"/>
  <c r="AI4628" i="2"/>
  <c r="AJ4628" i="2"/>
  <c r="AF4629" i="2"/>
  <c r="AK4629" i="2"/>
  <c r="AG4629" i="2"/>
  <c r="AH4629" i="2"/>
  <c r="AI4629" i="2"/>
  <c r="AJ4629" i="2"/>
  <c r="AF4630" i="2"/>
  <c r="AK4630" i="2" s="1"/>
  <c r="AL4630" i="2" s="1"/>
  <c r="AG4630" i="2"/>
  <c r="AH4630" i="2"/>
  <c r="AI4630" i="2"/>
  <c r="AJ4630" i="2"/>
  <c r="AF4631" i="2"/>
  <c r="AK4631" i="2"/>
  <c r="AG4631" i="2"/>
  <c r="AH4631" i="2"/>
  <c r="AL4631" i="2" s="1"/>
  <c r="AI4631" i="2"/>
  <c r="AJ4631" i="2"/>
  <c r="AF4632" i="2"/>
  <c r="AK4632" i="2" s="1"/>
  <c r="AG4632" i="2"/>
  <c r="AH4632" i="2"/>
  <c r="AI4632" i="2"/>
  <c r="AJ4632" i="2"/>
  <c r="AF4633" i="2"/>
  <c r="AK4633" i="2" s="1"/>
  <c r="AL4633" i="2" s="1"/>
  <c r="AG4633" i="2"/>
  <c r="AH4633" i="2"/>
  <c r="AI4633" i="2"/>
  <c r="AJ4633" i="2"/>
  <c r="AF4634" i="2"/>
  <c r="AK4634" i="2" s="1"/>
  <c r="AL4634" i="2" s="1"/>
  <c r="AG4634" i="2"/>
  <c r="AH4634" i="2"/>
  <c r="AI4634" i="2"/>
  <c r="AJ4634" i="2"/>
  <c r="AF4635" i="2"/>
  <c r="AK4635" i="2" s="1"/>
  <c r="AL4635" i="2" s="1"/>
  <c r="AG4635" i="2"/>
  <c r="AH4635" i="2"/>
  <c r="AI4635" i="2"/>
  <c r="AJ4635" i="2"/>
  <c r="AF4636" i="2"/>
  <c r="AK4636" i="2"/>
  <c r="AG4636" i="2"/>
  <c r="AH4636" i="2"/>
  <c r="AI4636" i="2"/>
  <c r="AJ4636" i="2"/>
  <c r="AF4637" i="2"/>
  <c r="AK4637" i="2"/>
  <c r="AG4637" i="2"/>
  <c r="AH4637" i="2"/>
  <c r="AL4637" i="2" s="1"/>
  <c r="AI4637" i="2"/>
  <c r="AJ4637" i="2"/>
  <c r="AF4638" i="2"/>
  <c r="AK4638" i="2" s="1"/>
  <c r="AG4638" i="2"/>
  <c r="AL4638" i="2" s="1"/>
  <c r="AH4638" i="2"/>
  <c r="AI4638" i="2"/>
  <c r="AJ4638" i="2"/>
  <c r="AF4639" i="2"/>
  <c r="AK4639" i="2" s="1"/>
  <c r="AG4639" i="2"/>
  <c r="AH4639" i="2"/>
  <c r="AI4639" i="2"/>
  <c r="AJ4639" i="2"/>
  <c r="AF4640" i="2"/>
  <c r="AK4640" i="2"/>
  <c r="AG4640" i="2"/>
  <c r="AH4640" i="2"/>
  <c r="AI4640" i="2"/>
  <c r="AL4640" i="2" s="1"/>
  <c r="AJ4640" i="2"/>
  <c r="AF4641" i="2"/>
  <c r="AK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L4644" i="2" s="1"/>
  <c r="AJ4644" i="2"/>
  <c r="AF4645" i="2"/>
  <c r="AK4645" i="2" s="1"/>
  <c r="AL4645" i="2" s="1"/>
  <c r="AG4645" i="2"/>
  <c r="AH4645" i="2"/>
  <c r="AI4645" i="2"/>
  <c r="AJ4645" i="2"/>
  <c r="AF4646" i="2"/>
  <c r="AK4646" i="2" s="1"/>
  <c r="AG4646" i="2"/>
  <c r="AH4646" i="2"/>
  <c r="AI4646" i="2"/>
  <c r="AJ4646" i="2"/>
  <c r="AF4647" i="2"/>
  <c r="AK4647" i="2"/>
  <c r="AL4647" i="2" s="1"/>
  <c r="AG4647" i="2"/>
  <c r="AH4647" i="2"/>
  <c r="AI4647" i="2"/>
  <c r="AJ4647" i="2"/>
  <c r="AF4648" i="2"/>
  <c r="AK4648" i="2"/>
  <c r="AG4648" i="2"/>
  <c r="AH4648" i="2"/>
  <c r="AL4648" i="2" s="1"/>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s="1"/>
  <c r="AG4653" i="2"/>
  <c r="AH4653" i="2"/>
  <c r="AL4653" i="2" s="1"/>
  <c r="AI4653" i="2"/>
  <c r="AJ4653" i="2"/>
  <c r="AF4654" i="2"/>
  <c r="AK4654" i="2"/>
  <c r="AG4654" i="2"/>
  <c r="AH4654" i="2"/>
  <c r="AI4654" i="2"/>
  <c r="AJ4654" i="2"/>
  <c r="AL4654" i="2" s="1"/>
  <c r="AF4655" i="2"/>
  <c r="AK4655" i="2"/>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s="1"/>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L4669" i="2"/>
  <c r="AH4669" i="2"/>
  <c r="AI4669" i="2"/>
  <c r="AJ4669" i="2"/>
  <c r="AF4670" i="2"/>
  <c r="AK4670" i="2"/>
  <c r="AG4670" i="2"/>
  <c r="AH4670" i="2"/>
  <c r="AI4670" i="2"/>
  <c r="AJ4670" i="2"/>
  <c r="AF4671" i="2"/>
  <c r="AK4671" i="2" s="1"/>
  <c r="AL4671" i="2" s="1"/>
  <c r="AG4671" i="2"/>
  <c r="AH4671" i="2"/>
  <c r="AI4671" i="2"/>
  <c r="AJ4671" i="2"/>
  <c r="AF4672" i="2"/>
  <c r="AK4672" i="2" s="1"/>
  <c r="AG4672" i="2"/>
  <c r="AH4672" i="2"/>
  <c r="AI4672" i="2"/>
  <c r="AJ4672" i="2"/>
  <c r="AF4673" i="2"/>
  <c r="AK4673" i="2"/>
  <c r="AG4673" i="2"/>
  <c r="AL4673" i="2" s="1"/>
  <c r="AH4673" i="2"/>
  <c r="AI4673" i="2"/>
  <c r="AJ4673" i="2"/>
  <c r="AF4674" i="2"/>
  <c r="AK4674" i="2"/>
  <c r="AG4674" i="2"/>
  <c r="AH4674" i="2"/>
  <c r="AL4674" i="2" s="1"/>
  <c r="AI4674" i="2"/>
  <c r="AJ4674" i="2"/>
  <c r="AF4675" i="2"/>
  <c r="AK4675" i="2" s="1"/>
  <c r="AG4675" i="2"/>
  <c r="AH4675" i="2"/>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L4678" i="2" s="1"/>
  <c r="AF4679" i="2"/>
  <c r="AK4679" i="2"/>
  <c r="AG4679" i="2"/>
  <c r="AH4679" i="2"/>
  <c r="AI4679" i="2"/>
  <c r="AJ4679" i="2"/>
  <c r="AF4680" i="2"/>
  <c r="AK4680" i="2"/>
  <c r="AL4680" i="2" s="1"/>
  <c r="AG4680" i="2"/>
  <c r="AH4680" i="2"/>
  <c r="AI4680" i="2"/>
  <c r="AJ4680" i="2"/>
  <c r="AF4681" i="2"/>
  <c r="AK4681" i="2" s="1"/>
  <c r="AG4681" i="2"/>
  <c r="AH4681" i="2"/>
  <c r="AI4681" i="2"/>
  <c r="AL4681" i="2" s="1"/>
  <c r="AJ4681" i="2"/>
  <c r="AF4682" i="2"/>
  <c r="AK4682" i="2" s="1"/>
  <c r="AG4682" i="2"/>
  <c r="AH4682" i="2"/>
  <c r="AI4682" i="2"/>
  <c r="AJ4682" i="2"/>
  <c r="AF4683" i="2"/>
  <c r="AK4683" i="2"/>
  <c r="AG4683" i="2"/>
  <c r="AH4683" i="2"/>
  <c r="AI4683" i="2"/>
  <c r="AJ4683" i="2"/>
  <c r="AF4684" i="2"/>
  <c r="AK4684" i="2"/>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L4689" i="2" s="1"/>
  <c r="AG4689" i="2"/>
  <c r="AH4689" i="2"/>
  <c r="AI4689" i="2"/>
  <c r="AJ4689" i="2"/>
  <c r="AF4690" i="2"/>
  <c r="AK4690" i="2"/>
  <c r="AG4690" i="2"/>
  <c r="AH4690" i="2"/>
  <c r="AL4690" i="2" s="1"/>
  <c r="AI4690" i="2"/>
  <c r="AJ4690" i="2"/>
  <c r="AF4691" i="2"/>
  <c r="AK4691" i="2" s="1"/>
  <c r="AG4691" i="2"/>
  <c r="AH4691" i="2"/>
  <c r="AI4691" i="2"/>
  <c r="AL4691" i="2" s="1"/>
  <c r="AJ4691" i="2"/>
  <c r="AF4692" i="2"/>
  <c r="AK4692" i="2"/>
  <c r="AG4692" i="2"/>
  <c r="AH4692" i="2"/>
  <c r="AI4692" i="2"/>
  <c r="AJ4692" i="2"/>
  <c r="AL4692" i="2" s="1"/>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L4696" i="2" s="1"/>
  <c r="AG4696" i="2"/>
  <c r="AH4696" i="2"/>
  <c r="AI4696" i="2"/>
  <c r="AJ4696" i="2"/>
  <c r="AF4697" i="2"/>
  <c r="AK4697" i="2" s="1"/>
  <c r="AG4697" i="2"/>
  <c r="AH4697" i="2"/>
  <c r="AI4697" i="2"/>
  <c r="AL4697" i="2" s="1"/>
  <c r="AJ4697" i="2"/>
  <c r="AF4698" i="2"/>
  <c r="AK4698" i="2" s="1"/>
  <c r="AG4698" i="2"/>
  <c r="AH4698" i="2"/>
  <c r="AI4698" i="2"/>
  <c r="AJ4698" i="2"/>
  <c r="AF4699" i="2"/>
  <c r="AK4699" i="2" s="1"/>
  <c r="AG4699" i="2"/>
  <c r="AL4699" i="2" s="1"/>
  <c r="AH4699" i="2"/>
  <c r="AI4699" i="2"/>
  <c r="AJ4699" i="2"/>
  <c r="AF4700" i="2"/>
  <c r="AK4700" i="2" s="1"/>
  <c r="AG4700" i="2"/>
  <c r="AH4700" i="2"/>
  <c r="AI4700" i="2"/>
  <c r="AJ4700" i="2"/>
  <c r="AF4701" i="2"/>
  <c r="AK4701" i="2"/>
  <c r="AL4701" i="2" s="1"/>
  <c r="AG4701" i="2"/>
  <c r="AH4701" i="2"/>
  <c r="AI4701" i="2"/>
  <c r="AJ4701" i="2"/>
  <c r="AF4702" i="2"/>
  <c r="AK4702" i="2" s="1"/>
  <c r="AG4702" i="2"/>
  <c r="AL4702" i="2" s="1"/>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L4708" i="2" s="1"/>
  <c r="AH4708" i="2"/>
  <c r="AI4708" i="2"/>
  <c r="AJ4708" i="2"/>
  <c r="AF4709" i="2"/>
  <c r="AK4709" i="2" s="1"/>
  <c r="AG4709" i="2"/>
  <c r="AH4709" i="2"/>
  <c r="AL4709" i="2" s="1"/>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c r="AG4715" i="2"/>
  <c r="AL4715" i="2" s="1"/>
  <c r="AH4715" i="2"/>
  <c r="AI4715" i="2"/>
  <c r="AJ4715" i="2"/>
  <c r="AF4716" i="2"/>
  <c r="AK4716" i="2" s="1"/>
  <c r="AL4716" i="2" s="1"/>
  <c r="AG4716" i="2"/>
  <c r="AH4716" i="2"/>
  <c r="AI4716" i="2"/>
  <c r="AJ4716" i="2"/>
  <c r="AF4717" i="2"/>
  <c r="AK4717" i="2" s="1"/>
  <c r="AL4717" i="2" s="1"/>
  <c r="AG4717" i="2"/>
  <c r="AH4717" i="2"/>
  <c r="AI4717" i="2"/>
  <c r="AJ4717" i="2"/>
  <c r="AF4718" i="2"/>
  <c r="AK4718" i="2"/>
  <c r="AG4718" i="2"/>
  <c r="AH4718" i="2"/>
  <c r="AL4718" i="2" s="1"/>
  <c r="AI4718" i="2"/>
  <c r="AJ4718" i="2"/>
  <c r="AF4719" i="2"/>
  <c r="AK4719" i="2" s="1"/>
  <c r="AG4719" i="2"/>
  <c r="AH4719" i="2"/>
  <c r="AI4719" i="2"/>
  <c r="AJ4719" i="2"/>
  <c r="AF4720" i="2"/>
  <c r="AK4720" i="2" s="1"/>
  <c r="AL4720" i="2" s="1"/>
  <c r="AG4720" i="2"/>
  <c r="AH4720" i="2"/>
  <c r="AI4720" i="2"/>
  <c r="AJ4720" i="2"/>
  <c r="AF4721" i="2"/>
  <c r="AK4721" i="2" s="1"/>
  <c r="AG4721" i="2"/>
  <c r="AL4721" i="2" s="1"/>
  <c r="AH4721" i="2"/>
  <c r="AI4721" i="2"/>
  <c r="AJ4721" i="2"/>
  <c r="AF4722" i="2"/>
  <c r="AK4722" i="2"/>
  <c r="AG4722" i="2"/>
  <c r="AH4722" i="2"/>
  <c r="AL4722" i="2" s="1"/>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L4726" i="2" s="1"/>
  <c r="AH4726" i="2"/>
  <c r="AI4726" i="2"/>
  <c r="AJ4726" i="2"/>
  <c r="AF4727" i="2"/>
  <c r="AK4727" i="2" s="1"/>
  <c r="AL4727" i="2" s="1"/>
  <c r="AG4727" i="2"/>
  <c r="AH4727" i="2"/>
  <c r="AI4727" i="2"/>
  <c r="AJ4727" i="2"/>
  <c r="AF4728" i="2"/>
  <c r="AK4728" i="2"/>
  <c r="AG4728" i="2"/>
  <c r="AH4728" i="2"/>
  <c r="AI4728" i="2"/>
  <c r="AL4728" i="2" s="1"/>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I4734" i="2"/>
  <c r="AJ4734" i="2"/>
  <c r="AF4735" i="2"/>
  <c r="AK4735" i="2"/>
  <c r="AL4735" i="2" s="1"/>
  <c r="AG4735" i="2"/>
  <c r="AH4735" i="2"/>
  <c r="AI4735" i="2"/>
  <c r="AJ4735" i="2"/>
  <c r="AF4736" i="2"/>
  <c r="AK4736" i="2" s="1"/>
  <c r="AG4736" i="2"/>
  <c r="AH4736" i="2"/>
  <c r="AI4736" i="2"/>
  <c r="AJ4736" i="2"/>
  <c r="AL4736" i="2" s="1"/>
  <c r="AF4737" i="2"/>
  <c r="AK4737" i="2"/>
  <c r="AG4737" i="2"/>
  <c r="AH4737" i="2"/>
  <c r="AI4737" i="2"/>
  <c r="AJ4737" i="2"/>
  <c r="AF4738" i="2"/>
  <c r="AK4738" i="2"/>
  <c r="AG4738" i="2"/>
  <c r="AH4738" i="2"/>
  <c r="AI4738" i="2"/>
  <c r="AJ4738" i="2"/>
  <c r="AF4739" i="2"/>
  <c r="AK4739" i="2"/>
  <c r="AL4739" i="2" s="1"/>
  <c r="AG4739" i="2"/>
  <c r="AH4739" i="2"/>
  <c r="AI4739" i="2"/>
  <c r="AJ4739" i="2"/>
  <c r="AF4740" i="2"/>
  <c r="AK4740" i="2" s="1"/>
  <c r="AG4740" i="2"/>
  <c r="AL4740" i="2"/>
  <c r="AH4740" i="2"/>
  <c r="AI4740" i="2"/>
  <c r="AJ4740" i="2"/>
  <c r="AF4741" i="2"/>
  <c r="AK4741" i="2"/>
  <c r="AG4741" i="2"/>
  <c r="AH4741" i="2"/>
  <c r="AL4741" i="2" s="1"/>
  <c r="AI4741" i="2"/>
  <c r="AJ4741" i="2"/>
  <c r="AF4742" i="2"/>
  <c r="AK4742" i="2" s="1"/>
  <c r="AG4742" i="2"/>
  <c r="AL4742" i="2" s="1"/>
  <c r="AH4742" i="2"/>
  <c r="AI4742" i="2"/>
  <c r="AJ4742" i="2"/>
  <c r="AF4743" i="2"/>
  <c r="AK4743" i="2" s="1"/>
  <c r="AG4743" i="2"/>
  <c r="AH4743" i="2"/>
  <c r="AI4743" i="2"/>
  <c r="AJ4743" i="2"/>
  <c r="AF4744" i="2"/>
  <c r="AK4744" i="2"/>
  <c r="AG4744" i="2"/>
  <c r="AL4744" i="2" s="1"/>
  <c r="AH4744" i="2"/>
  <c r="AI4744" i="2"/>
  <c r="AJ4744" i="2"/>
  <c r="AF4745" i="2"/>
  <c r="AK4745" i="2"/>
  <c r="AL4745" i="2"/>
  <c r="AG4745" i="2"/>
  <c r="AH4745" i="2"/>
  <c r="AI4745" i="2"/>
  <c r="AJ4745" i="2"/>
  <c r="AF4746" i="2"/>
  <c r="AK4746" i="2" s="1"/>
  <c r="AG4746" i="2"/>
  <c r="AL4746" i="2" s="1"/>
  <c r="AH4746" i="2"/>
  <c r="AI4746" i="2"/>
  <c r="AJ4746" i="2"/>
  <c r="AF4747" i="2"/>
  <c r="AK4747" i="2"/>
  <c r="AG4747" i="2"/>
  <c r="AL4747" i="2" s="1"/>
  <c r="AH4747" i="2"/>
  <c r="AI4747" i="2"/>
  <c r="AJ4747" i="2"/>
  <c r="AF4748" i="2"/>
  <c r="AK4748" i="2" s="1"/>
  <c r="AG4748" i="2"/>
  <c r="AH4748" i="2"/>
  <c r="AI4748" i="2"/>
  <c r="AJ4748" i="2"/>
  <c r="AF4749" i="2"/>
  <c r="AK4749" i="2" s="1"/>
  <c r="AG4749" i="2"/>
  <c r="AH4749" i="2"/>
  <c r="AI4749" i="2"/>
  <c r="AJ4749" i="2"/>
  <c r="AF4750" i="2"/>
  <c r="AK4750" i="2" s="1"/>
  <c r="AL4750" i="2" s="1"/>
  <c r="AG4750" i="2"/>
  <c r="AH4750" i="2"/>
  <c r="AI4750" i="2"/>
  <c r="AJ4750" i="2"/>
  <c r="AF4751" i="2"/>
  <c r="AK4751" i="2"/>
  <c r="AG4751" i="2"/>
  <c r="AH4751" i="2"/>
  <c r="AI4751" i="2"/>
  <c r="AJ4751" i="2"/>
  <c r="AL4751" i="2" s="1"/>
  <c r="AF4752" i="2"/>
  <c r="AK4752" i="2"/>
  <c r="AG4752" i="2"/>
  <c r="AH4752" i="2"/>
  <c r="AI4752" i="2"/>
  <c r="AJ4752" i="2"/>
  <c r="AF4753" i="2"/>
  <c r="AK4753" i="2"/>
  <c r="AL4753" i="2" s="1"/>
  <c r="AG4753" i="2"/>
  <c r="AH4753" i="2"/>
  <c r="AI4753" i="2"/>
  <c r="AJ4753" i="2"/>
  <c r="AF4754" i="2"/>
  <c r="AK4754" i="2" s="1"/>
  <c r="AG4754" i="2"/>
  <c r="AL4754" i="2" s="1"/>
  <c r="AH4754" i="2"/>
  <c r="AI4754" i="2"/>
  <c r="AJ4754" i="2"/>
  <c r="AF4755" i="2"/>
  <c r="AK4755" i="2" s="1"/>
  <c r="AG4755" i="2"/>
  <c r="AH4755" i="2"/>
  <c r="AI4755" i="2"/>
  <c r="AJ4755" i="2"/>
  <c r="AF4756" i="2"/>
  <c r="AK4756" i="2" s="1"/>
  <c r="AL4756" i="2" s="1"/>
  <c r="AG4756" i="2"/>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L4759" i="2" s="1"/>
  <c r="AI4759" i="2"/>
  <c r="AJ4759" i="2"/>
  <c r="AF4760" i="2"/>
  <c r="AK4760" i="2"/>
  <c r="AG4760" i="2"/>
  <c r="AH4760" i="2"/>
  <c r="AI4760" i="2"/>
  <c r="AL4760" i="2" s="1"/>
  <c r="AJ4760" i="2"/>
  <c r="AF4761" i="2"/>
  <c r="AK4761" i="2" s="1"/>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L4766" i="2" s="1"/>
  <c r="AF4767" i="2"/>
  <c r="AK4767" i="2"/>
  <c r="AG4767" i="2"/>
  <c r="AH4767" i="2"/>
  <c r="AL4767" i="2" s="1"/>
  <c r="AI4767" i="2"/>
  <c r="AJ4767" i="2"/>
  <c r="AF4768" i="2"/>
  <c r="AK4768" i="2" s="1"/>
  <c r="AL4768" i="2" s="1"/>
  <c r="AG4768" i="2"/>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c r="AL4775" i="2"/>
  <c r="AG4775" i="2"/>
  <c r="AH4775" i="2"/>
  <c r="AI4775" i="2"/>
  <c r="AJ4775" i="2"/>
  <c r="AF4776" i="2"/>
  <c r="AK4776" i="2" s="1"/>
  <c r="AG4776" i="2"/>
  <c r="AL4776" i="2" s="1"/>
  <c r="AH4776" i="2"/>
  <c r="AI4776" i="2"/>
  <c r="AJ4776" i="2"/>
  <c r="AF4777" i="2"/>
  <c r="AK4777" i="2" s="1"/>
  <c r="AG4777" i="2"/>
  <c r="AL4777" i="2" s="1"/>
  <c r="AH4777" i="2"/>
  <c r="AI4777" i="2"/>
  <c r="AJ4777" i="2"/>
  <c r="AF4778" i="2"/>
  <c r="AK4778" i="2"/>
  <c r="AG4778" i="2"/>
  <c r="AH4778" i="2"/>
  <c r="AI4778" i="2"/>
  <c r="AJ4778" i="2"/>
  <c r="AL4778" i="2" s="1"/>
  <c r="AF4779" i="2"/>
  <c r="AK4779" i="2"/>
  <c r="AG4779" i="2"/>
  <c r="AH4779" i="2"/>
  <c r="AI4779" i="2"/>
  <c r="AJ4779" i="2"/>
  <c r="AF4780" i="2"/>
  <c r="AK4780" i="2"/>
  <c r="AL4780" i="2" s="1"/>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L4784" i="2" s="1"/>
  <c r="AH4784" i="2"/>
  <c r="AI4784" i="2"/>
  <c r="AJ4784" i="2"/>
  <c r="AF4785" i="2"/>
  <c r="AK4785" i="2"/>
  <c r="AL4785" i="2" s="1"/>
  <c r="AG4785" i="2"/>
  <c r="AH4785" i="2"/>
  <c r="AI4785" i="2"/>
  <c r="AJ4785" i="2"/>
  <c r="AF4786" i="2"/>
  <c r="AK4786" i="2"/>
  <c r="AG4786" i="2"/>
  <c r="AH4786" i="2"/>
  <c r="AL4786" i="2" s="1"/>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s="1"/>
  <c r="AG4794" i="2"/>
  <c r="AH4794" i="2"/>
  <c r="AL4794" i="2" s="1"/>
  <c r="AI4794" i="2"/>
  <c r="AJ4794" i="2"/>
  <c r="AF4795" i="2"/>
  <c r="AK4795" i="2"/>
  <c r="AG4795" i="2"/>
  <c r="AH4795" i="2"/>
  <c r="AI4795" i="2"/>
  <c r="AL4795" i="2"/>
  <c r="AJ4795" i="2"/>
  <c r="AF4796" i="2"/>
  <c r="AK4796" i="2" s="1"/>
  <c r="AL4796" i="2" s="1"/>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c r="AG4803" i="2"/>
  <c r="AH4803" i="2"/>
  <c r="AI4803" i="2"/>
  <c r="AJ4803" i="2"/>
  <c r="AF4804" i="2"/>
  <c r="AK4804" i="2" s="1"/>
  <c r="AL4804" i="2" s="1"/>
  <c r="AG4804" i="2"/>
  <c r="AH4804" i="2"/>
  <c r="AI4804" i="2"/>
  <c r="AJ4804" i="2"/>
  <c r="AF4805" i="2"/>
  <c r="AK4805" i="2"/>
  <c r="AG4805" i="2"/>
  <c r="AH4805" i="2"/>
  <c r="AI4805" i="2"/>
  <c r="AL4805" i="2"/>
  <c r="AJ4805" i="2"/>
  <c r="AF4806" i="2"/>
  <c r="AK4806" i="2" s="1"/>
  <c r="AL4806" i="2" s="1"/>
  <c r="AG4806" i="2"/>
  <c r="AH4806" i="2"/>
  <c r="AI4806" i="2"/>
  <c r="AJ4806" i="2"/>
  <c r="AF4807" i="2"/>
  <c r="AK4807" i="2" s="1"/>
  <c r="AG4807" i="2"/>
  <c r="AL4807" i="2" s="1"/>
  <c r="AH4807" i="2"/>
  <c r="AI4807" i="2"/>
  <c r="AJ4807" i="2"/>
  <c r="AF4808" i="2"/>
  <c r="AK4808" i="2"/>
  <c r="AG4808" i="2"/>
  <c r="AL4808" i="2" s="1"/>
  <c r="AH4808" i="2"/>
  <c r="AI4808" i="2"/>
  <c r="AJ4808" i="2"/>
  <c r="AF4809" i="2"/>
  <c r="AK4809" i="2" s="1"/>
  <c r="AL4809" i="2" s="1"/>
  <c r="AG4809" i="2"/>
  <c r="AH4809" i="2"/>
  <c r="AI4809" i="2"/>
  <c r="AJ4809" i="2"/>
  <c r="AF4810" i="2"/>
  <c r="AK4810" i="2" s="1"/>
  <c r="AG4810" i="2"/>
  <c r="AH4810" i="2"/>
  <c r="AI4810" i="2"/>
  <c r="AJ4810" i="2"/>
  <c r="AF4811" i="2"/>
  <c r="AK4811" i="2"/>
  <c r="AG4811" i="2"/>
  <c r="AH4811" i="2"/>
  <c r="AI4811" i="2"/>
  <c r="AJ4811" i="2"/>
  <c r="AF4812" i="2"/>
  <c r="AK4812" i="2"/>
  <c r="AG4812" i="2"/>
  <c r="AH4812" i="2"/>
  <c r="AL4812" i="2" s="1"/>
  <c r="AI4812" i="2"/>
  <c r="AJ4812" i="2"/>
  <c r="AF4813" i="2"/>
  <c r="AK4813" i="2" s="1"/>
  <c r="AL4813" i="2" s="1"/>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L4816" i="2" s="1"/>
  <c r="AJ4816" i="2"/>
  <c r="AF4817" i="2"/>
  <c r="AK4817" i="2" s="1"/>
  <c r="AL4817" i="2" s="1"/>
  <c r="AG4817" i="2"/>
  <c r="AH4817" i="2"/>
  <c r="AI4817" i="2"/>
  <c r="AJ4817" i="2"/>
  <c r="AF4818" i="2"/>
  <c r="AK4818" i="2" s="1"/>
  <c r="AG4818" i="2"/>
  <c r="AL4818" i="2" s="1"/>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L4821" i="2" s="1"/>
  <c r="AF4822" i="2"/>
  <c r="AK4822" i="2"/>
  <c r="AL4822" i="2" s="1"/>
  <c r="AG4822" i="2"/>
  <c r="AH4822" i="2"/>
  <c r="AI4822" i="2"/>
  <c r="AJ4822" i="2"/>
  <c r="AF4823" i="2"/>
  <c r="AK4823" i="2" s="1"/>
  <c r="AG4823" i="2"/>
  <c r="AL4823" i="2" s="1"/>
  <c r="AH4823" i="2"/>
  <c r="AI4823" i="2"/>
  <c r="AJ4823" i="2"/>
  <c r="AF4824" i="2"/>
  <c r="AK4824" i="2"/>
  <c r="AG4824" i="2"/>
  <c r="AH4824" i="2"/>
  <c r="AI4824" i="2"/>
  <c r="AJ4824" i="2"/>
  <c r="AF4825" i="2"/>
  <c r="AK4825" i="2" s="1"/>
  <c r="AG4825" i="2"/>
  <c r="AH4825" i="2"/>
  <c r="AL4825" i="2" s="1"/>
  <c r="AI4825" i="2"/>
  <c r="AJ4825" i="2"/>
  <c r="AF4826" i="2"/>
  <c r="AK4826" i="2"/>
  <c r="AG4826" i="2"/>
  <c r="AL4826" i="2" s="1"/>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L4831" i="2" s="1"/>
  <c r="AG4831" i="2"/>
  <c r="AH4831" i="2"/>
  <c r="AI4831" i="2"/>
  <c r="AJ4831" i="2"/>
  <c r="AF4832" i="2"/>
  <c r="AK4832" i="2" s="1"/>
  <c r="AG4832" i="2"/>
  <c r="AH4832" i="2"/>
  <c r="AI4832" i="2"/>
  <c r="AJ4832" i="2"/>
  <c r="AF4833" i="2"/>
  <c r="AK4833" i="2"/>
  <c r="AG4833" i="2"/>
  <c r="AL4833" i="2" s="1"/>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s="1"/>
  <c r="AG4839" i="2"/>
  <c r="AL4839" i="2" s="1"/>
  <c r="AH4839" i="2"/>
  <c r="AI4839" i="2"/>
  <c r="AJ4839" i="2"/>
  <c r="AF4840" i="2"/>
  <c r="AK4840" i="2"/>
  <c r="AG4840" i="2"/>
  <c r="AH4840" i="2"/>
  <c r="AI4840" i="2"/>
  <c r="AJ4840" i="2"/>
  <c r="AF4841" i="2"/>
  <c r="AK4841" i="2"/>
  <c r="AG4841" i="2"/>
  <c r="AL4841" i="2" s="1"/>
  <c r="AH4841" i="2"/>
  <c r="AI4841" i="2"/>
  <c r="AJ4841" i="2"/>
  <c r="AF4842" i="2"/>
  <c r="AK4842" i="2"/>
  <c r="AG4842" i="2"/>
  <c r="AL4842" i="2" s="1"/>
  <c r="AH4842" i="2"/>
  <c r="AI4842" i="2"/>
  <c r="AJ4842" i="2"/>
  <c r="AF4843" i="2"/>
  <c r="AK4843" i="2" s="1"/>
  <c r="AL4843" i="2" s="1"/>
  <c r="AG4843" i="2"/>
  <c r="AH4843" i="2"/>
  <c r="AI4843" i="2"/>
  <c r="AJ4843" i="2"/>
  <c r="AF4844" i="2"/>
  <c r="AK4844" i="2"/>
  <c r="AG4844" i="2"/>
  <c r="AL4844" i="2" s="1"/>
  <c r="AH4844" i="2"/>
  <c r="AI4844" i="2"/>
  <c r="AJ4844" i="2"/>
  <c r="AF4845" i="2"/>
  <c r="AK4845" i="2" s="1"/>
  <c r="AG4845" i="2"/>
  <c r="AL4845" i="2" s="1"/>
  <c r="AH4845" i="2"/>
  <c r="AI4845" i="2"/>
  <c r="AJ4845" i="2"/>
  <c r="AF4846" i="2"/>
  <c r="AK4846" i="2"/>
  <c r="AG4846" i="2"/>
  <c r="AH4846" i="2"/>
  <c r="AL4846" i="2" s="1"/>
  <c r="AI4846" i="2"/>
  <c r="AJ4846" i="2"/>
  <c r="AF4847" i="2"/>
  <c r="AK4847" i="2" s="1"/>
  <c r="AG4847" i="2"/>
  <c r="AH4847" i="2"/>
  <c r="AI4847" i="2"/>
  <c r="AJ4847" i="2"/>
  <c r="AF4848" i="2"/>
  <c r="AK4848" i="2"/>
  <c r="AL4848" i="2" s="1"/>
  <c r="AG4848" i="2"/>
  <c r="AH4848" i="2"/>
  <c r="AI4848" i="2"/>
  <c r="AJ4848" i="2"/>
  <c r="AF4849" i="2"/>
  <c r="AK4849" i="2" s="1"/>
  <c r="AG4849" i="2"/>
  <c r="AL4849" i="2" s="1"/>
  <c r="AH4849" i="2"/>
  <c r="AI4849" i="2"/>
  <c r="AJ4849" i="2"/>
  <c r="AF4850" i="2"/>
  <c r="AK4850" i="2" s="1"/>
  <c r="AG4850" i="2"/>
  <c r="AH4850" i="2"/>
  <c r="AI4850" i="2"/>
  <c r="AL4850" i="2" s="1"/>
  <c r="AJ4850" i="2"/>
  <c r="AF4851" i="2"/>
  <c r="AK4851" i="2" s="1"/>
  <c r="AG4851" i="2"/>
  <c r="AL4851" i="2" s="1"/>
  <c r="AH4851" i="2"/>
  <c r="AI4851" i="2"/>
  <c r="AJ4851" i="2"/>
  <c r="AF4852" i="2"/>
  <c r="AK4852" i="2"/>
  <c r="AG4852" i="2"/>
  <c r="AH4852" i="2"/>
  <c r="AL4852" i="2" s="1"/>
  <c r="AI4852" i="2"/>
  <c r="AJ4852" i="2"/>
  <c r="AF4853" i="2"/>
  <c r="AK4853" i="2" s="1"/>
  <c r="AL4853" i="2" s="1"/>
  <c r="AG4853" i="2"/>
  <c r="AH4853" i="2"/>
  <c r="AI4853" i="2"/>
  <c r="AJ4853" i="2"/>
  <c r="AF4854" i="2"/>
  <c r="AK4854" i="2"/>
  <c r="AG4854" i="2"/>
  <c r="AL4854" i="2" s="1"/>
  <c r="AH4854" i="2"/>
  <c r="AI4854" i="2"/>
  <c r="AJ4854" i="2"/>
  <c r="AF4855" i="2"/>
  <c r="AK4855" i="2" s="1"/>
  <c r="AL4855" i="2" s="1"/>
  <c r="AG4855" i="2"/>
  <c r="AH4855" i="2"/>
  <c r="AI4855" i="2"/>
  <c r="AJ4855" i="2"/>
  <c r="AF4856" i="2"/>
  <c r="AK4856" i="2" s="1"/>
  <c r="AG4856" i="2"/>
  <c r="AH4856" i="2"/>
  <c r="AI4856" i="2"/>
  <c r="AL4856" i="2" s="1"/>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c r="AG4860" i="2"/>
  <c r="AL4860" i="2" s="1"/>
  <c r="AH4860" i="2"/>
  <c r="AI4860" i="2"/>
  <c r="AJ4860" i="2"/>
  <c r="AF4861" i="2"/>
  <c r="AK4861" i="2" s="1"/>
  <c r="AG4861" i="2"/>
  <c r="AH4861" i="2"/>
  <c r="AI4861" i="2"/>
  <c r="AJ4861" i="2"/>
  <c r="AF4862" i="2"/>
  <c r="AK4862" i="2"/>
  <c r="AG4862" i="2"/>
  <c r="AL4862" i="2" s="1"/>
  <c r="AH4862" i="2"/>
  <c r="AI4862" i="2"/>
  <c r="AJ4862" i="2"/>
  <c r="AF4863" i="2"/>
  <c r="AK4863" i="2" s="1"/>
  <c r="AG4863" i="2"/>
  <c r="AL4863" i="2" s="1"/>
  <c r="AH4863" i="2"/>
  <c r="AI4863" i="2"/>
  <c r="AJ4863" i="2"/>
  <c r="AF4864" i="2"/>
  <c r="AK4864" i="2"/>
  <c r="AL4864" i="2" s="1"/>
  <c r="AG4864" i="2"/>
  <c r="AH4864" i="2"/>
  <c r="AI4864" i="2"/>
  <c r="AJ4864" i="2"/>
  <c r="AF4865" i="2"/>
  <c r="AK4865" i="2" s="1"/>
  <c r="AG4865" i="2"/>
  <c r="AL4865" i="2" s="1"/>
  <c r="AH4865" i="2"/>
  <c r="AI4865" i="2"/>
  <c r="AJ4865" i="2"/>
  <c r="AF4866" i="2"/>
  <c r="AK4866" i="2"/>
  <c r="AL4866" i="2" s="1"/>
  <c r="AG4866" i="2"/>
  <c r="AH4866" i="2"/>
  <c r="AI4866" i="2"/>
  <c r="AJ4866" i="2"/>
  <c r="AF4867" i="2"/>
  <c r="AK4867" i="2"/>
  <c r="AL4867" i="2"/>
  <c r="AG4867" i="2"/>
  <c r="AH4867" i="2"/>
  <c r="AI4867" i="2"/>
  <c r="AJ4867" i="2"/>
  <c r="AF4868" i="2"/>
  <c r="AK4868" i="2" s="1"/>
  <c r="AL4868" i="2" s="1"/>
  <c r="AG4868" i="2"/>
  <c r="AH4868" i="2"/>
  <c r="AI4868" i="2"/>
  <c r="AJ4868" i="2"/>
  <c r="AF4869" i="2"/>
  <c r="AK4869" i="2" s="1"/>
  <c r="AG4869" i="2"/>
  <c r="AH4869" i="2"/>
  <c r="AL4869" i="2" s="1"/>
  <c r="AI4869" i="2"/>
  <c r="AJ4869" i="2"/>
  <c r="AF4870" i="2"/>
  <c r="AK4870" i="2"/>
  <c r="AG4870" i="2"/>
  <c r="AL4870" i="2" s="1"/>
  <c r="AH4870" i="2"/>
  <c r="AI4870" i="2"/>
  <c r="AJ4870" i="2"/>
  <c r="AF4871" i="2"/>
  <c r="AK4871" i="2" s="1"/>
  <c r="AL4871" i="2" s="1"/>
  <c r="AG4871" i="2"/>
  <c r="AH4871" i="2"/>
  <c r="AI4871" i="2"/>
  <c r="AJ4871" i="2"/>
  <c r="AF4872" i="2"/>
  <c r="AK4872" i="2" s="1"/>
  <c r="AL4872" i="2" s="1"/>
  <c r="AG4872" i="2"/>
  <c r="AH4872" i="2"/>
  <c r="AI4872" i="2"/>
  <c r="AJ4872" i="2"/>
  <c r="AF4873" i="2"/>
  <c r="AK4873" i="2"/>
  <c r="AG4873" i="2"/>
  <c r="AL4873" i="2" s="1"/>
  <c r="AH4873" i="2"/>
  <c r="AI4873" i="2"/>
  <c r="AJ4873" i="2"/>
  <c r="AF4874" i="2"/>
  <c r="AK4874" i="2" s="1"/>
  <c r="AG4874" i="2"/>
  <c r="AH4874" i="2"/>
  <c r="AI4874" i="2"/>
  <c r="AJ4874" i="2"/>
  <c r="AF4875" i="2"/>
  <c r="AK4875" i="2"/>
  <c r="AG4875" i="2"/>
  <c r="AH4875" i="2"/>
  <c r="AI4875" i="2"/>
  <c r="AJ4875" i="2"/>
  <c r="AF4876" i="2"/>
  <c r="AK4876" i="2"/>
  <c r="AL4876" i="2" s="1"/>
  <c r="AG4876" i="2"/>
  <c r="AH4876" i="2"/>
  <c r="AI4876" i="2"/>
  <c r="AJ4876" i="2"/>
  <c r="AF4877" i="2"/>
  <c r="AK4877" i="2" s="1"/>
  <c r="AG4877" i="2"/>
  <c r="AH4877" i="2"/>
  <c r="AL4877" i="2" s="1"/>
  <c r="AI4877" i="2"/>
  <c r="AJ4877" i="2"/>
  <c r="AF4878" i="2"/>
  <c r="AK4878" i="2"/>
  <c r="AG4878" i="2"/>
  <c r="AL4878" i="2" s="1"/>
  <c r="AH4878" i="2"/>
  <c r="AI4878" i="2"/>
  <c r="AJ4878" i="2"/>
  <c r="AF4879" i="2"/>
  <c r="AK4879" i="2" s="1"/>
  <c r="AG4879" i="2"/>
  <c r="AH4879" i="2"/>
  <c r="AI4879" i="2"/>
  <c r="AJ4879" i="2"/>
  <c r="AF4880" i="2"/>
  <c r="AK4880" i="2"/>
  <c r="AG4880" i="2"/>
  <c r="AL4880" i="2" s="1"/>
  <c r="AH4880" i="2"/>
  <c r="AI4880" i="2"/>
  <c r="AJ4880" i="2"/>
  <c r="AF4881" i="2"/>
  <c r="AK4881" i="2" s="1"/>
  <c r="AG4881" i="2"/>
  <c r="AH4881" i="2"/>
  <c r="AI4881" i="2"/>
  <c r="AJ4881" i="2"/>
  <c r="AF4882" i="2"/>
  <c r="AK4882" i="2"/>
  <c r="AG4882" i="2"/>
  <c r="AL4882" i="2" s="1"/>
  <c r="AH4882" i="2"/>
  <c r="AI4882" i="2"/>
  <c r="AJ4882" i="2"/>
  <c r="AF4883" i="2"/>
  <c r="AK4883" i="2" s="1"/>
  <c r="AG4883" i="2"/>
  <c r="AL4883" i="2" s="1"/>
  <c r="AH4883" i="2"/>
  <c r="AI4883" i="2"/>
  <c r="AJ4883" i="2"/>
  <c r="AF4884" i="2"/>
  <c r="AK4884" i="2"/>
  <c r="AG4884" i="2"/>
  <c r="AH4884" i="2"/>
  <c r="AL4884" i="2" s="1"/>
  <c r="AI4884" i="2"/>
  <c r="AJ4884" i="2"/>
  <c r="AF4885" i="2"/>
  <c r="AK4885" i="2" s="1"/>
  <c r="AG4885" i="2"/>
  <c r="AH4885" i="2"/>
  <c r="AL4885" i="2" s="1"/>
  <c r="AI4885" i="2"/>
  <c r="AJ4885" i="2"/>
  <c r="AF4886" i="2"/>
  <c r="AK4886" i="2"/>
  <c r="AG4886" i="2"/>
  <c r="AL4886" i="2" s="1"/>
  <c r="AH4886" i="2"/>
  <c r="AI4886" i="2"/>
  <c r="AJ4886" i="2"/>
  <c r="AF4887" i="2"/>
  <c r="AK4887" i="2" s="1"/>
  <c r="AG4887" i="2"/>
  <c r="AH4887" i="2"/>
  <c r="AI4887" i="2"/>
  <c r="AJ4887" i="2"/>
  <c r="AF4888" i="2"/>
  <c r="AK4888" i="2"/>
  <c r="AL4888" i="2" s="1"/>
  <c r="AG4888" i="2"/>
  <c r="AH4888" i="2"/>
  <c r="AI4888" i="2"/>
  <c r="AJ4888" i="2"/>
  <c r="AF4889" i="2"/>
  <c r="AK4889" i="2" s="1"/>
  <c r="AG4889" i="2"/>
  <c r="AL4889" i="2" s="1"/>
  <c r="AH4889" i="2"/>
  <c r="AI4889" i="2"/>
  <c r="AJ4889" i="2"/>
  <c r="AF4890" i="2"/>
  <c r="AK4890" i="2"/>
  <c r="AG4890" i="2"/>
  <c r="AH4890" i="2"/>
  <c r="AL4890" i="2" s="1"/>
  <c r="AI4890" i="2"/>
  <c r="AJ4890" i="2"/>
  <c r="AF4891" i="2"/>
  <c r="AK4891" i="2" s="1"/>
  <c r="AG4891" i="2"/>
  <c r="AL4891" i="2" s="1"/>
  <c r="AH4891" i="2"/>
  <c r="AI4891" i="2"/>
  <c r="AJ4891" i="2"/>
  <c r="AF4892" i="2"/>
  <c r="AK4892" i="2" s="1"/>
  <c r="AL4892" i="2" s="1"/>
  <c r="AG4892" i="2"/>
  <c r="AH4892" i="2"/>
  <c r="AI4892" i="2"/>
  <c r="AJ4892" i="2"/>
  <c r="AF4893" i="2"/>
  <c r="AK4893" i="2" s="1"/>
  <c r="AG4893" i="2"/>
  <c r="AH4893" i="2"/>
  <c r="AI4893" i="2"/>
  <c r="AJ4893" i="2"/>
  <c r="AF4894" i="2"/>
  <c r="AK4894" i="2"/>
  <c r="AG4894" i="2"/>
  <c r="AH4894" i="2"/>
  <c r="AI4894" i="2"/>
  <c r="AJ4894" i="2"/>
  <c r="AF4895" i="2"/>
  <c r="AK4895" i="2"/>
  <c r="AL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L4899" i="2" s="1"/>
  <c r="AI4899" i="2"/>
  <c r="AJ4899" i="2"/>
  <c r="AF4900" i="2"/>
  <c r="AK4900" i="2" s="1"/>
  <c r="AL4900" i="2" s="1"/>
  <c r="AG4900" i="2"/>
  <c r="AH4900" i="2"/>
  <c r="AI4900" i="2"/>
  <c r="AJ4900" i="2"/>
  <c r="AF4901" i="2"/>
  <c r="AK4901" i="2"/>
  <c r="AL4901" i="2"/>
  <c r="AG4901" i="2"/>
  <c r="AH4901" i="2"/>
  <c r="AI4901" i="2"/>
  <c r="AJ4901" i="2"/>
  <c r="AF4902" i="2"/>
  <c r="AK4902" i="2" s="1"/>
  <c r="AL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c r="AG4906" i="2"/>
  <c r="AH4906" i="2"/>
  <c r="AI4906" i="2"/>
  <c r="AJ4906" i="2"/>
  <c r="AF4907" i="2"/>
  <c r="AK4907" i="2" s="1"/>
  <c r="AL4907" i="2" s="1"/>
  <c r="AG4907" i="2"/>
  <c r="AH4907" i="2"/>
  <c r="AI4907" i="2"/>
  <c r="AJ4907" i="2"/>
  <c r="AF4908" i="2"/>
  <c r="AK4908" i="2"/>
  <c r="AG4908" i="2"/>
  <c r="AH4908" i="2"/>
  <c r="AI4908" i="2"/>
  <c r="AJ4908" i="2"/>
  <c r="AL4908" i="2" s="1"/>
  <c r="AF4909" i="2"/>
  <c r="AK4909" i="2"/>
  <c r="AG4909" i="2"/>
  <c r="AL4909" i="2" s="1"/>
  <c r="AH4909" i="2"/>
  <c r="AI4909" i="2"/>
  <c r="AJ4909" i="2"/>
  <c r="AF4910" i="2"/>
  <c r="AK4910" i="2" s="1"/>
  <c r="AL4910" i="2" s="1"/>
  <c r="AG4910" i="2"/>
  <c r="AH4910" i="2"/>
  <c r="AI4910" i="2"/>
  <c r="AJ4910" i="2"/>
  <c r="AF4911" i="2"/>
  <c r="AK4911" i="2"/>
  <c r="AG4911" i="2"/>
  <c r="AL4911" i="2" s="1"/>
  <c r="AH4911" i="2"/>
  <c r="AI4911" i="2"/>
  <c r="AJ4911" i="2"/>
  <c r="AF4912" i="2"/>
  <c r="AK4912" i="2" s="1"/>
  <c r="AL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c r="AG4917" i="2"/>
  <c r="AH4917" i="2"/>
  <c r="AI4917" i="2"/>
  <c r="AJ4917" i="2"/>
  <c r="AF4918" i="2"/>
  <c r="AK4918" i="2"/>
  <c r="AL4918" i="2" s="1"/>
  <c r="AG4918" i="2"/>
  <c r="AH4918" i="2"/>
  <c r="AI4918" i="2"/>
  <c r="AJ4918" i="2"/>
  <c r="AF4919" i="2"/>
  <c r="AK4919" i="2" s="1"/>
  <c r="AG4919" i="2"/>
  <c r="AL4919" i="2" s="1"/>
  <c r="AH4919" i="2"/>
  <c r="AI4919" i="2"/>
  <c r="AJ4919" i="2"/>
  <c r="AF4920" i="2"/>
  <c r="AK4920" i="2"/>
  <c r="AL4920" i="2" s="1"/>
  <c r="AG4920" i="2"/>
  <c r="AH4920" i="2"/>
  <c r="AI4920" i="2"/>
  <c r="AJ4920" i="2"/>
  <c r="AF4921" i="2"/>
  <c r="AK4921" i="2" s="1"/>
  <c r="AG4921" i="2"/>
  <c r="AH4921" i="2"/>
  <c r="AL4921" i="2" s="1"/>
  <c r="AI4921" i="2"/>
  <c r="AJ4921" i="2"/>
  <c r="AF4922" i="2"/>
  <c r="AK4922" i="2"/>
  <c r="AG4922" i="2"/>
  <c r="AL4922" i="2" s="1"/>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s="1"/>
  <c r="AG4926" i="2"/>
  <c r="AH4926" i="2"/>
  <c r="AL4926" i="2" s="1"/>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c r="AG4931" i="2"/>
  <c r="AL4931" i="2" s="1"/>
  <c r="AH4931" i="2"/>
  <c r="AI4931" i="2"/>
  <c r="AJ4931" i="2"/>
  <c r="AF4932" i="2"/>
  <c r="AK4932" i="2" s="1"/>
  <c r="AG4932" i="2"/>
  <c r="AH4932" i="2"/>
  <c r="AI4932" i="2"/>
  <c r="AJ4932" i="2"/>
  <c r="AF4933" i="2"/>
  <c r="AK4933" i="2"/>
  <c r="AG4933" i="2"/>
  <c r="AH4933" i="2"/>
  <c r="AI4933" i="2"/>
  <c r="AJ4933" i="2"/>
  <c r="AL4933" i="2" s="1"/>
  <c r="AF4934" i="2"/>
  <c r="AK4934" i="2"/>
  <c r="AL4934" i="2" s="1"/>
  <c r="AG4934" i="2"/>
  <c r="AH4934" i="2"/>
  <c r="AI4934" i="2"/>
  <c r="AJ4934" i="2"/>
  <c r="AF4935" i="2"/>
  <c r="AK4935" i="2" s="1"/>
  <c r="AG4935" i="2"/>
  <c r="AH4935" i="2"/>
  <c r="AI4935" i="2"/>
  <c r="AJ4935" i="2"/>
  <c r="AF4936" i="2"/>
  <c r="AK4936" i="2"/>
  <c r="AG4936" i="2"/>
  <c r="AL4936" i="2" s="1"/>
  <c r="AH4936" i="2"/>
  <c r="AI4936" i="2"/>
  <c r="AJ4936" i="2"/>
  <c r="AF4937" i="2"/>
  <c r="AK4937" i="2" s="1"/>
  <c r="AG4937" i="2"/>
  <c r="AH4937" i="2"/>
  <c r="AI4937" i="2"/>
  <c r="AJ4937" i="2"/>
  <c r="AF4938" i="2"/>
  <c r="AK4938" i="2" s="1"/>
  <c r="AL4938" i="2" s="1"/>
  <c r="AG4938" i="2"/>
  <c r="AH4938" i="2"/>
  <c r="AI4938" i="2"/>
  <c r="AJ4938" i="2"/>
  <c r="AF4939" i="2"/>
  <c r="AK4939" i="2" s="1"/>
  <c r="AG4939" i="2"/>
  <c r="AL4939" i="2" s="1"/>
  <c r="AH4939" i="2"/>
  <c r="AI4939" i="2"/>
  <c r="AJ4939" i="2"/>
  <c r="AF4940" i="2"/>
  <c r="AK4940" i="2"/>
  <c r="AG4940" i="2"/>
  <c r="AL4940" i="2" s="1"/>
  <c r="AH4940" i="2"/>
  <c r="AI4940" i="2"/>
  <c r="AJ4940" i="2"/>
  <c r="AF4941" i="2"/>
  <c r="AK4941" i="2" s="1"/>
  <c r="AL4941" i="2" s="1"/>
  <c r="AG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L4945" i="2" s="1"/>
  <c r="AG4945" i="2"/>
  <c r="AH4945" i="2"/>
  <c r="AI4945" i="2"/>
  <c r="AJ4945" i="2"/>
  <c r="AF4946" i="2"/>
  <c r="AK4946" i="2"/>
  <c r="AG4946" i="2"/>
  <c r="AL4946" i="2" s="1"/>
  <c r="AH4946" i="2"/>
  <c r="AI4946" i="2"/>
  <c r="AJ4946" i="2"/>
  <c r="AF4947" i="2"/>
  <c r="AK4947" i="2" s="1"/>
  <c r="AG4947" i="2"/>
  <c r="AL4947" i="2" s="1"/>
  <c r="AH4947" i="2"/>
  <c r="AI4947" i="2"/>
  <c r="AJ4947" i="2"/>
  <c r="AF4948" i="2"/>
  <c r="AK4948" i="2" s="1"/>
  <c r="AL4948" i="2" s="1"/>
  <c r="AG4948" i="2"/>
  <c r="AH4948" i="2"/>
  <c r="AI4948" i="2"/>
  <c r="AJ4948" i="2"/>
  <c r="AF4949" i="2"/>
  <c r="AK4949" i="2" s="1"/>
  <c r="AL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L4952" i="2" s="1"/>
  <c r="AJ4952" i="2"/>
  <c r="AK4952" i="2"/>
  <c r="AF4953" i="2"/>
  <c r="AK4953" i="2"/>
  <c r="AG4953" i="2"/>
  <c r="AH4953" i="2"/>
  <c r="AI4953" i="2"/>
  <c r="AJ4953" i="2"/>
  <c r="AF4954" i="2"/>
  <c r="AK4954" i="2"/>
  <c r="AG4954" i="2"/>
  <c r="AH4954" i="2"/>
  <c r="AL4954" i="2" s="1"/>
  <c r="AI4954" i="2"/>
  <c r="AJ4954" i="2"/>
  <c r="AF4955" i="2"/>
  <c r="AK4955" i="2" s="1"/>
  <c r="AL4955" i="2" s="1"/>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G4960" i="2"/>
  <c r="AH4960" i="2"/>
  <c r="AI4960" i="2"/>
  <c r="AJ4960" i="2"/>
  <c r="AF4961" i="2"/>
  <c r="AK4961" i="2" s="1"/>
  <c r="AL4961" i="2" s="1"/>
  <c r="AG4961" i="2"/>
  <c r="AH4961" i="2"/>
  <c r="AI4961" i="2"/>
  <c r="AJ4961" i="2"/>
  <c r="AF4962" i="2"/>
  <c r="AK4962" i="2"/>
  <c r="AG4962" i="2"/>
  <c r="AH4962" i="2"/>
  <c r="AI4962" i="2"/>
  <c r="AL4962" i="2" s="1"/>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c r="AG4966" i="2"/>
  <c r="AH4966" i="2"/>
  <c r="AI4966" i="2"/>
  <c r="AJ4966" i="2"/>
  <c r="AF4967" i="2"/>
  <c r="AK4967" i="2" s="1"/>
  <c r="AG4967" i="2"/>
  <c r="AL4967" i="2" s="1"/>
  <c r="AH4967" i="2"/>
  <c r="AI4967" i="2"/>
  <c r="AJ4967" i="2"/>
  <c r="AF4968" i="2"/>
  <c r="AK4968" i="2"/>
  <c r="AG4968" i="2"/>
  <c r="AL4968" i="2" s="1"/>
  <c r="AH4968" i="2"/>
  <c r="AI4968" i="2"/>
  <c r="AJ4968" i="2"/>
  <c r="AF4969" i="2"/>
  <c r="AK4969" i="2" s="1"/>
  <c r="AL4969" i="2" s="1"/>
  <c r="AG4969" i="2"/>
  <c r="AH4969" i="2"/>
  <c r="AI4969" i="2"/>
  <c r="AJ4969" i="2"/>
  <c r="AF4970" i="2"/>
  <c r="AK4970" i="2" s="1"/>
  <c r="AG4970" i="2"/>
  <c r="AL4970" i="2" s="1"/>
  <c r="AH4970" i="2"/>
  <c r="AI4970" i="2"/>
  <c r="AJ4970" i="2"/>
  <c r="AF4971" i="2"/>
  <c r="AK4971" i="2"/>
  <c r="AG4971" i="2"/>
  <c r="AL4971" i="2" s="1"/>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c r="AL4975" i="2" s="1"/>
  <c r="AG4975" i="2"/>
  <c r="AH4975" i="2"/>
  <c r="AI4975" i="2"/>
  <c r="AJ4975" i="2"/>
  <c r="AF4976" i="2"/>
  <c r="AK4976" i="2" s="1"/>
  <c r="AG4976" i="2"/>
  <c r="AL4976" i="2" s="1"/>
  <c r="AH4976" i="2"/>
  <c r="AI4976" i="2"/>
  <c r="AJ4976" i="2"/>
  <c r="AF4977" i="2"/>
  <c r="AK4977" i="2"/>
  <c r="AG4977" i="2"/>
  <c r="AL4977" i="2" s="1"/>
  <c r="AH4977" i="2"/>
  <c r="AI4977" i="2"/>
  <c r="AJ4977" i="2"/>
  <c r="AF4978" i="2"/>
  <c r="AK4978" i="2" s="1"/>
  <c r="AG4978" i="2"/>
  <c r="AH4978" i="2"/>
  <c r="AI4978" i="2"/>
  <c r="AJ4978" i="2"/>
  <c r="AF4979" i="2"/>
  <c r="AK4979" i="2" s="1"/>
  <c r="AL4979" i="2" s="1"/>
  <c r="AG4979" i="2"/>
  <c r="AH4979" i="2"/>
  <c r="AI4979" i="2"/>
  <c r="AJ4979" i="2"/>
  <c r="AF4980" i="2"/>
  <c r="AK4980" i="2" s="1"/>
  <c r="AL4980" i="2" s="1"/>
  <c r="AG4980" i="2"/>
  <c r="AH4980" i="2"/>
  <c r="AI4980" i="2"/>
  <c r="AJ4980" i="2"/>
  <c r="AF4981" i="2"/>
  <c r="AK4981" i="2" s="1"/>
  <c r="AG4981" i="2"/>
  <c r="AL4981" i="2" s="1"/>
  <c r="AH4981" i="2"/>
  <c r="AI4981" i="2"/>
  <c r="AJ4981" i="2"/>
  <c r="AF4982" i="2"/>
  <c r="AK4982" i="2"/>
  <c r="AL4982" i="2"/>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I4985" i="2"/>
  <c r="AJ4985" i="2"/>
  <c r="AL4985" i="2" s="1"/>
  <c r="AF4986" i="2"/>
  <c r="AK4986" i="2"/>
  <c r="AG4986" i="2"/>
  <c r="AL4986" i="2" s="1"/>
  <c r="AH4986" i="2"/>
  <c r="AI4986" i="2"/>
  <c r="AJ4986" i="2"/>
  <c r="AF4987" i="2"/>
  <c r="AK4987" i="2" s="1"/>
  <c r="AG4987" i="2"/>
  <c r="AL4987" i="2" s="1"/>
  <c r="AH4987" i="2"/>
  <c r="AI4987" i="2"/>
  <c r="AJ4987" i="2"/>
  <c r="AF4988" i="2"/>
  <c r="AK4988" i="2"/>
  <c r="AG4988" i="2"/>
  <c r="AL4988" i="2" s="1"/>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L4992" i="2" s="1"/>
  <c r="AG4992" i="2"/>
  <c r="AH4992" i="2"/>
  <c r="AI4992" i="2"/>
  <c r="AJ4992" i="2"/>
  <c r="AF4993" i="2"/>
  <c r="AK4993" i="2" s="1"/>
  <c r="AG4993" i="2"/>
  <c r="AL4993" i="2" s="1"/>
  <c r="AH4993" i="2"/>
  <c r="AI4993" i="2"/>
  <c r="AJ4993" i="2"/>
  <c r="AF4994" i="2"/>
  <c r="AK4994" i="2"/>
  <c r="AL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c r="AG4997" i="2"/>
  <c r="AH4997" i="2"/>
  <c r="AI4997" i="2"/>
  <c r="AJ4997" i="2"/>
  <c r="AL4997" i="2" s="1"/>
  <c r="AF4998" i="2"/>
  <c r="AK4998" i="2"/>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18" i="2"/>
  <c r="AL3605" i="2"/>
  <c r="AL3592" i="2"/>
  <c r="AL3586" i="2"/>
  <c r="AL3573" i="2"/>
  <c r="AL3560"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57" i="2"/>
  <c r="AL3649" i="2"/>
  <c r="AL3641" i="2"/>
  <c r="AL3633" i="2"/>
  <c r="AL3625" i="2"/>
  <c r="AL3617"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08" i="2"/>
  <c r="AL4291" i="2"/>
  <c r="AL4263" i="2"/>
  <c r="AL4239" i="2"/>
  <c r="AL4235" i="2"/>
  <c r="AL4184" i="2"/>
  <c r="AL4140" i="2"/>
  <c r="AL4133" i="2"/>
  <c r="AL4107" i="2"/>
  <c r="AL4076" i="2"/>
  <c r="AL4064" i="2"/>
  <c r="AL4059" i="2"/>
  <c r="AL4032" i="2"/>
  <c r="AL4012" i="2"/>
  <c r="AL3996" i="2"/>
  <c r="AL3980" i="2"/>
  <c r="AL4353" i="2"/>
  <c r="AL4339" i="2"/>
  <c r="AL4312" i="2"/>
  <c r="AL4201" i="2"/>
  <c r="AL4144" i="2"/>
  <c r="AL4137" i="2"/>
  <c r="AL4080" i="2"/>
  <c r="AL4067" i="2"/>
  <c r="AL4060" i="2"/>
  <c r="AL4049" i="2"/>
  <c r="AL4028" i="2"/>
  <c r="AL4417" i="2"/>
  <c r="AL4357" i="2"/>
  <c r="AL4316" i="2"/>
  <c r="AL4305" i="2"/>
  <c r="AL4299" i="2"/>
  <c r="AL4284" i="2"/>
  <c r="AL4273" i="2"/>
  <c r="AL4245" i="2"/>
  <c r="AL4232" i="2"/>
  <c r="AL4223" i="2"/>
  <c r="AL4188" i="2"/>
  <c r="AL4181" i="2"/>
  <c r="AL4159" i="2"/>
  <c r="AL4124" i="2"/>
  <c r="AL4095" i="2"/>
  <c r="AL4000" i="2"/>
  <c r="AL3984" i="2"/>
  <c r="AL3968" i="2"/>
  <c r="AL4369" i="2"/>
  <c r="AL4355" i="2"/>
  <c r="AL4247" i="2"/>
  <c r="AL4243" i="2"/>
  <c r="AL4179" i="2"/>
  <c r="AL4121" i="2"/>
  <c r="AL4119" i="2"/>
  <c r="AL4115" i="2"/>
  <c r="AL4469" i="2"/>
  <c r="AL4401" i="2"/>
  <c r="AL4363" i="2"/>
  <c r="AL4336" i="2"/>
  <c r="AL4313" i="2"/>
  <c r="AL4281" i="2"/>
  <c r="AL4229" i="2"/>
  <c r="AL4209" i="2"/>
  <c r="AL4207" i="2"/>
  <c r="AL4172" i="2"/>
  <c r="AL4152" i="2"/>
  <c r="AL4139" i="2"/>
  <c r="AL4108" i="2"/>
  <c r="AL4088" i="2"/>
  <c r="AL4048" i="2"/>
  <c r="AL4020"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434" i="2"/>
  <c r="AL4558" i="2"/>
  <c r="AL4447" i="2"/>
  <c r="AL458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3959" i="2"/>
  <c r="AL3782" i="2"/>
  <c r="AL3319" i="2"/>
  <c r="AL2971" i="2"/>
  <c r="AL4021" i="2"/>
  <c r="AL4013" i="2"/>
  <c r="AL3960"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459" i="2"/>
  <c r="AL4433" i="2"/>
  <c r="AL4303" i="2"/>
  <c r="AL3843" i="2"/>
  <c r="AL4824" i="2"/>
  <c r="AL4528" i="2"/>
  <c r="AL4501" i="2"/>
  <c r="AL4466" i="2"/>
  <c r="AL4960" i="2"/>
  <c r="AL4738" i="2"/>
  <c r="AL4734" i="2"/>
  <c r="AL4724" i="2"/>
  <c r="AL4581" i="2"/>
  <c r="AL4494" i="2"/>
  <c r="AL4478" i="2"/>
  <c r="AL4454" i="2"/>
  <c r="AL4431" i="2"/>
  <c r="AL4345" i="2"/>
  <c r="AL4338" i="2"/>
  <c r="AL4007" i="2"/>
  <c r="AL3986" i="2"/>
  <c r="AL4798" i="2"/>
  <c r="AL4571" i="2"/>
  <c r="AL4461" i="2"/>
  <c r="AL4439" i="2"/>
  <c r="AL4365" i="2"/>
  <c r="AL4330" i="2"/>
  <c r="AL4262"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4327" i="2"/>
  <c r="AL4202" i="2"/>
  <c r="AL4106" i="2"/>
  <c r="AL4098" i="2"/>
  <c r="AL3944" i="2"/>
  <c r="AL4410" i="2"/>
  <c r="AL4374" i="2"/>
  <c r="AL4348" i="2"/>
  <c r="AL4344" i="2"/>
  <c r="AL4317" i="2"/>
  <c r="AL4206" i="2"/>
  <c r="AL4189" i="2"/>
  <c r="AL4150" i="2"/>
  <c r="AL4003"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85" i="2"/>
  <c r="AL4264" i="2"/>
  <c r="AL4173" i="2"/>
  <c r="AL4089" i="2"/>
  <c r="AL4056" i="2"/>
  <c r="AL4045" i="2"/>
  <c r="AL4039" i="2"/>
  <c r="AL4019" i="2"/>
  <c r="AL4009"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520" i="2"/>
  <c r="AL4482" i="2"/>
  <c r="AL4398" i="2"/>
  <c r="AL4388" i="2"/>
  <c r="AL4917" i="2"/>
  <c r="AL4396" i="2"/>
  <c r="AL4974" i="2"/>
  <c r="AL4611" i="2"/>
  <c r="AL4591" i="2"/>
  <c r="AL4332" i="2"/>
  <c r="AL4636" i="2"/>
  <c r="AL4617" i="2"/>
  <c r="AL4518"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4649" i="2"/>
  <c r="AL4597" i="2"/>
  <c r="AL4858" i="2"/>
  <c r="AL4704" i="2"/>
  <c r="AL4664" i="2"/>
  <c r="AL4579" i="2"/>
  <c r="AL4698" i="2"/>
  <c r="AL4964" i="2"/>
  <c r="AL4545" i="2"/>
  <c r="AL4385" i="2"/>
  <c r="AL4418"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89" i="2"/>
  <c r="AL4929" i="2"/>
  <c r="AL4840" i="2"/>
  <c r="AL4779" i="2"/>
  <c r="AL4719" i="2"/>
  <c r="AL4537" i="2"/>
  <c r="AL4515" i="2"/>
  <c r="AL4906" i="2"/>
  <c r="AL4836" i="2"/>
  <c r="AL4730" i="2"/>
  <c r="AL4588" i="2"/>
  <c r="AL4582" i="2"/>
  <c r="AL4944" i="2"/>
  <c r="AL4811" i="2"/>
  <c r="AL4789" i="2"/>
  <c r="AL4723" i="2"/>
  <c r="AL4675" i="2"/>
  <c r="AL4604" i="2"/>
  <c r="AL4594" i="2"/>
  <c r="AL4550" i="2"/>
  <c r="AL4506" i="2"/>
  <c r="AL4452" i="2"/>
  <c r="AL4959" i="2"/>
  <c r="AL4894" i="2"/>
  <c r="AL4956" i="2"/>
  <c r="AL4686" i="2"/>
  <c r="AL4580" i="2"/>
  <c r="AL4574" i="2"/>
  <c r="AL4522" i="2"/>
  <c r="AL4449" i="2"/>
  <c r="AL4953" i="2"/>
  <c r="AL4925" i="2"/>
  <c r="AL4770" i="2"/>
  <c r="AL4659" i="2"/>
  <c r="AL4619" i="2"/>
  <c r="AL4586" i="2"/>
  <c r="AL4577" i="2"/>
  <c r="AL4650" i="2"/>
  <c r="AL4554" i="2"/>
  <c r="AL4529" i="2"/>
  <c r="AL4525" i="2"/>
  <c r="AL4498" i="2"/>
  <c r="AL4412" i="2"/>
  <c r="AL4404" i="2"/>
  <c r="AL4394" i="2"/>
  <c r="AL4375" i="2"/>
  <c r="AL4632" i="2"/>
  <c r="AL4526" i="2"/>
  <c r="AL4370" i="2"/>
  <c r="AL4565" i="2"/>
  <c r="AL4500" i="2"/>
  <c r="AL4446" i="2"/>
  <c r="AL4419" i="2"/>
  <c r="AL4382" i="2"/>
  <c r="AL4367" i="2"/>
  <c r="AL4362" i="2"/>
  <c r="AL4236" i="2"/>
  <c r="AL4125" i="2"/>
  <c r="AL4643" i="2"/>
  <c r="AL4442" i="2"/>
  <c r="AL4427" i="2"/>
  <c r="AL4416" i="2"/>
  <c r="AL4413" i="2"/>
  <c r="AL4288" i="2"/>
  <c r="AL4566" i="2"/>
  <c r="AL4519" i="2"/>
  <c r="AL4504" i="2"/>
  <c r="AL4240" i="2"/>
  <c r="AL4679" i="2"/>
  <c r="AL4470" i="2"/>
  <c r="AL4100" i="2"/>
  <c r="AL4486" i="2"/>
  <c r="AL4479" i="2"/>
  <c r="AL4440" i="2"/>
  <c r="AL4425"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350" i="2"/>
  <c r="AL4070" i="2"/>
  <c r="AL403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7" i="2"/>
  <c r="AM7" i="2" s="1"/>
  <c r="AL4984" i="2"/>
  <c r="AL4874" i="2"/>
  <c r="AL4832" i="2"/>
  <c r="AL4641" i="2"/>
  <c r="AL4978" i="2"/>
  <c r="AL4935" i="2"/>
  <c r="AL4932" i="2"/>
  <c r="AL4893" i="2"/>
  <c r="AL4861" i="2"/>
  <c r="AL4829" i="2"/>
  <c r="AL4810" i="2"/>
  <c r="AL4646" i="2"/>
  <c r="AL4624" i="2"/>
  <c r="AL4973" i="2"/>
  <c r="AL4937" i="2"/>
  <c r="AL4879" i="2"/>
  <c r="AL4837" i="2"/>
  <c r="AL4639" i="2"/>
  <c r="AL4898" i="2"/>
  <c r="AL4847" i="2"/>
  <c r="AL4815" i="2"/>
  <c r="AL4799" i="2"/>
  <c r="AL4791" i="2"/>
  <c r="AL4682" i="2"/>
  <c r="AL4928" i="2"/>
  <c r="AL4887" i="2"/>
  <c r="AL4903" i="2"/>
  <c r="AL4881" i="2"/>
  <c r="AL4802" i="2"/>
  <c r="AL4782" i="2"/>
  <c r="AL4762" i="2"/>
  <c r="AL4743" i="2"/>
  <c r="AL4693" i="2"/>
  <c r="AL4725" i="2"/>
  <c r="AL4707" i="2"/>
  <c r="AL4672" i="2"/>
  <c r="AL4523" i="2"/>
  <c r="AL4749" i="2"/>
  <c r="AL4676" i="2"/>
  <c r="AL4660" i="2"/>
  <c r="AL4608" i="2"/>
  <c r="AL4584" i="2"/>
  <c r="AL4505" i="2"/>
  <c r="AL4462" i="2"/>
  <c r="AL4432" i="2"/>
  <c r="AL4421" i="2"/>
  <c r="AL4397" i="2"/>
  <c r="AL4390" i="2"/>
  <c r="AL4371" i="2"/>
  <c r="AL4323" i="2"/>
  <c r="AL4147" i="2"/>
  <c r="AL4105" i="2"/>
  <c r="AL4072" i="2"/>
  <c r="AL4046" i="2"/>
  <c r="AL3955" i="2"/>
  <c r="AL3947" i="2"/>
  <c r="AL3915" i="2"/>
  <c r="AL3892" i="2"/>
  <c r="AL3672" i="2"/>
  <c r="AL3548" i="2"/>
  <c r="AL3535" i="2"/>
  <c r="AL4524" i="2"/>
  <c r="AL4477" i="2"/>
  <c r="AL4318" i="2"/>
  <c r="AL4213" i="2"/>
  <c r="AL4129" i="2"/>
  <c r="AL4081" i="2"/>
  <c r="AL4755" i="2"/>
  <c r="AL4714" i="2"/>
  <c r="AL4705" i="2"/>
  <c r="AL4700" i="2"/>
  <c r="AL4657" i="2"/>
  <c r="AL4585" i="2"/>
  <c r="AL4568" i="2"/>
  <c r="AL4564" i="2"/>
  <c r="AL4540" i="2"/>
  <c r="AL4510" i="2"/>
  <c r="AL4502" i="2"/>
  <c r="AL4463" i="2"/>
  <c r="AL4372" i="2"/>
  <c r="AL4295" i="2"/>
  <c r="AL4252" i="2"/>
  <c r="AL4222" i="2"/>
  <c r="AL4192" i="2"/>
  <c r="AL4170" i="2"/>
  <c r="AL4162" i="2"/>
  <c r="AL4156" i="2"/>
  <c r="AL4043" i="2"/>
  <c r="AL3856" i="2"/>
  <c r="AL3755" i="2"/>
  <c r="AL4622" i="2"/>
  <c r="AL4569" i="2"/>
  <c r="AL4561" i="2"/>
  <c r="AL4532" i="2"/>
  <c r="AL4521" i="2"/>
  <c r="AL4492" i="2"/>
  <c r="AL4488" i="2"/>
  <c r="AL4422" i="2"/>
  <c r="AL4408" i="2"/>
  <c r="AL4270" i="2"/>
  <c r="AL4259" i="2"/>
  <c r="AL4256" i="2"/>
  <c r="AL4204" i="2"/>
  <c r="AL4186" i="2"/>
  <c r="AL4182" i="2"/>
  <c r="AL4737" i="2"/>
  <c r="AL4683" i="2"/>
  <c r="AL4666" i="2"/>
  <c r="AL4499" i="2"/>
  <c r="AL4495" i="2"/>
  <c r="AL4467" i="2"/>
  <c r="AL4464" i="2"/>
  <c r="AL4437" i="2"/>
  <c r="AL4405" i="2"/>
  <c r="AL4391" i="2"/>
  <c r="AL4296" i="2"/>
  <c r="AL4190" i="2"/>
  <c r="AL4116" i="2"/>
  <c r="AL3953" i="2"/>
  <c r="AL3721" i="2"/>
  <c r="AL3630" i="2"/>
  <c r="AL3447" i="2"/>
  <c r="AL4761" i="2"/>
  <c r="AL4364" i="2"/>
  <c r="AL4260" i="2"/>
  <c r="AL4257" i="2"/>
  <c r="AL4703" i="2"/>
  <c r="AL4694" i="2"/>
  <c r="AL4655" i="2"/>
  <c r="AL4628" i="2"/>
  <c r="AL4610" i="2"/>
  <c r="AL4607" i="2"/>
  <c r="AL4603" i="2"/>
  <c r="AL4578" i="2"/>
  <c r="AL4546" i="2"/>
  <c r="AL4538" i="2"/>
  <c r="AL4531" i="2"/>
  <c r="AL4527" i="2"/>
  <c r="AL4475" i="2"/>
  <c r="AL4468" i="2"/>
  <c r="AL4465" i="2"/>
  <c r="AL4457" i="2"/>
  <c r="AL4424" i="2"/>
  <c r="AL4420" i="2"/>
  <c r="AL4415" i="2"/>
  <c r="AL4361" i="2"/>
  <c r="AL4258" i="2"/>
  <c r="AL4228" i="2"/>
  <c r="AL4208" i="2"/>
  <c r="AL3989" i="2"/>
  <c r="AL3493" i="2"/>
  <c r="AL3936" i="2"/>
  <c r="AL3925" i="2"/>
  <c r="AL3900" i="2"/>
  <c r="AL3735" i="2"/>
  <c r="AL3616" i="2"/>
  <c r="AL3613" i="2"/>
  <c r="AL3497" i="2"/>
  <c r="AL3480" i="2"/>
  <c r="AL3363" i="2"/>
  <c r="AL3212" i="2"/>
  <c r="AL2851" i="2"/>
  <c r="AL3743" i="2"/>
  <c r="AL3555" i="2"/>
  <c r="AL3552" i="2"/>
  <c r="AL3506" i="2"/>
  <c r="AL3330" i="2"/>
  <c r="AL3284" i="2"/>
  <c r="AL3253" i="2"/>
  <c r="AL3804" i="2"/>
  <c r="AL3757" i="2"/>
  <c r="AL3676" i="2"/>
  <c r="AL3611" i="2"/>
  <c r="AL3499" i="2"/>
  <c r="AL3465" i="2"/>
  <c r="AL3442" i="2"/>
  <c r="AL3378" i="2"/>
  <c r="AL3344" i="2"/>
  <c r="AL3310" i="2"/>
  <c r="AL2530" i="2"/>
  <c r="AL3709" i="2"/>
  <c r="AL3307" i="2"/>
  <c r="AL2637" i="2"/>
  <c r="AL3751" i="2"/>
  <c r="AL3530" i="2"/>
  <c r="AL3517" i="2"/>
  <c r="AL3328" i="2"/>
  <c r="AL2875" i="2"/>
  <c r="AL2398" i="2"/>
  <c r="AL2364" i="2"/>
  <c r="AL2199" i="2"/>
  <c r="AL2835" i="2"/>
  <c r="AL2705" i="2"/>
  <c r="AL2608" i="2"/>
  <c r="AL2545" i="2"/>
  <c r="AL2482" i="2"/>
  <c r="AL2463" i="2"/>
  <c r="AL2091" i="2"/>
  <c r="AL1883" i="2"/>
  <c r="AL2353" i="2"/>
  <c r="AL2679" i="2"/>
  <c r="AL2653" i="2"/>
  <c r="AL2630" i="2"/>
  <c r="AL2557" i="2"/>
  <c r="AL2448" i="2"/>
  <c r="AL2175" i="2"/>
  <c r="AL2727" i="2"/>
  <c r="AL2673" i="2"/>
  <c r="AL2606" i="2"/>
  <c r="AL2571" i="2"/>
  <c r="AL2544" i="2"/>
  <c r="AL2473" i="2"/>
  <c r="AL2379" i="2"/>
  <c r="AL2334" i="2"/>
  <c r="AL2204" i="2"/>
  <c r="AL2191" i="2"/>
  <c r="AL2320" i="2"/>
  <c r="AL2277" i="2"/>
  <c r="AL2264" i="2"/>
  <c r="AL2446" i="2"/>
  <c r="AL2303" i="2"/>
  <c r="AL1588" i="2"/>
  <c r="AL1486" i="2"/>
  <c r="AL1249" i="2"/>
  <c r="AL1455" i="2"/>
  <c r="AL1343" i="2"/>
  <c r="AL1327" i="2"/>
  <c r="AL1789" i="2"/>
  <c r="AL1411" i="2"/>
  <c r="AL983" i="2"/>
  <c r="AL998" i="2"/>
  <c r="AL1173" i="2"/>
  <c r="AL1135" i="2"/>
  <c r="AL1111" i="2"/>
  <c r="AL1001" i="2"/>
  <c r="AL967" i="2"/>
  <c r="AL292" i="2"/>
  <c r="AL168" i="2"/>
  <c r="AL5227" i="2"/>
  <c r="AL5131" i="2"/>
  <c r="AL5082"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<sst xmlns="http://schemas.openxmlformats.org/spreadsheetml/2006/main" count="177" uniqueCount="129">
  <si>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</si>
  <si>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</si>
  <si>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</si>
  <si>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</si>
  <si>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</si>
  <si>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</si>
  <si>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</si>
  <si>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</si>
  <si>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</si>
  <si>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</si>
  <si>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</si>
  <si>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</si>
  <si>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</si>
  <si>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</si>
  <si>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</si>
  <si>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</si>
  <si>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</si>
  <si>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</si>
  <si>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</si>
  <si>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</si>
  <si>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</si>
  <si>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</si>
  <si>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</si>
  <si>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</si>
  <si>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</si>
  <si>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</si>
  <si>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</si>
  <si>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</si>
  <si>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</si>
  <si>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</si>
  <si>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</si>
  <si>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</si>
  <si>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</si>
  <si>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</si>
  <si>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</si>
  <si>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</si>
  <si>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</si>
  <si>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</si>
  <si>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</si>
  <si>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</si>
  <si>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</si>
  <si>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</si>
  <si>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</si>
  <si>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</si>
  <si>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</si>
  <si>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</si>
  <si>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</si>
  <si>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</si>
  <si>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</si>
  <si>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</si>
  <si>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</si>
  <si>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</si>
  <si>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</si>
  <si>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</si>
  <si>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</si>
  <si>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</si>
  <si>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</si>
  <si>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</si>
  <si>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</si>
  <si>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</si>
  <si>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</si>
  <si>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</si>
  <si>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</si>
  <si>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</si>
  <si>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</si>
  <si>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</si>
  <si>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</si>
  <si>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</si>
  <si>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</si>
  <si>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</si>
  <si>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</si>
  <si>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</si>
  <si>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</si>
  <si>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</si>
  <si>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</si>
  <si>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</si>
  <si>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</si>
  <si>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</si>
  <si>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</si>
  <si>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</si>
  <si>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</si>
  <si>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</si>
  <si>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</si>
  <si>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</si>
  <si>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</si>
  <si>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</si>
  <si>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</si>
  <si>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</si>
  <si>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</si>
  <si>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</si>
  <si>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</si>
  <si>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</si>
  <si>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Lemieux Creek</t>
  </si>
  <si>
    <t>Closed Bottom Structure</t>
  </si>
  <si>
    <t>Round Culvert</t>
  </si>
  <si>
    <t>Yes</t>
  </si>
  <si>
    <t>No</t>
  </si>
  <si>
    <t>Deep Fill</t>
  </si>
  <si>
    <t>Lemieux creek</t>
  </si>
  <si>
    <t>Highway 16</t>
  </si>
  <si>
    <t>MW, TP, DN, AN</t>
  </si>
  <si>
    <t>Moti</t>
  </si>
  <si>
    <t>Robin Creek</t>
  </si>
  <si>
    <t>High</t>
  </si>
  <si>
    <t>Embedded culvert with high flow. 14:37</t>
  </si>
  <si>
    <t>AI, TP</t>
  </si>
  <si>
    <t>Perow Creek</t>
  </si>
  <si>
    <t>Oval Culvert</t>
  </si>
  <si>
    <t>Medium</t>
  </si>
  <si>
    <t>TP, VJ</t>
  </si>
  <si>
    <t>McDonnell FSR</t>
  </si>
  <si>
    <t>Open Bottom Structure</t>
  </si>
  <si>
    <t>Bridge</t>
  </si>
  <si>
    <t>New bridge, well built. Room on both banks for freshet melt. 16:57:00</t>
  </si>
  <si>
    <t>Replace with New Open Bottom Structure</t>
  </si>
  <si>
    <t>00180607</t>
  </si>
  <si>
    <t>Al Irvine</t>
  </si>
  <si>
    <t>250-777-1518</t>
  </si>
  <si>
    <t>al@newgraphenvironment.com</t>
  </si>
  <si>
    <t>OTHER</t>
  </si>
  <si>
    <t>Bulkley River Fish Passage Restoration Planning 2022 - Reassessments</t>
  </si>
  <si>
    <t>Quick School Rd</t>
  </si>
  <si>
    <t>Miller Creek</t>
  </si>
  <si>
    <t>Stream was dry at the time of survey but had water last year during extremely dry ear. Culvert appears passable for all life stages. There is a private land residential development upstream that's impacting the stream. The channel is constricted upstream and has large chunks of riprap throughout. 10:45</t>
  </si>
  <si>
    <t>MoF 7552</t>
  </si>
  <si>
    <t>00198456</t>
  </si>
  <si>
    <t>Adjacent landowner reports culvert was worked on last year. Crossing appeared passable at time of assessment, deep outlet pool but the stream dewaters after the pool. 13:14</t>
  </si>
  <si>
    <t>Very deep outlet pool. Wetland downstream and beaver activity upstream. Almost fully backwatered, very little flow through the culvert. 13:32</t>
  </si>
  <si>
    <t>bulkley_2022_reassessments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</si>
</sst>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F17" sqref="F17"/>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128</v>
      </c>
    </row>
    <row r="5" spans="1:20">
      <c r="A5" s="4" t="s">
        <v>58</v>
      </c>
      <c r="B5" t="s">
        <v>120</v>
      </c>
    </row>
    <row r="6" spans="1:20">
      <c r="A6" s="4"/>
      <c r="B6" s="10"/>
    </row>
    <row r="7" spans="1:20">
      <c r="A7" s="4" t="s">
        <v>86</v>
      </c>
      <c r="B7" s="83" t="s">
        <v>115</v>
      </c>
    </row>
    <row r="8" spans="1:20">
      <c r="A8" s="4" t="s">
        <v>73</v>
      </c>
      <c r="B8" t="s">
        <v>116</v>
      </c>
    </row>
    <row r="9" spans="1:20">
      <c r="A9" s="4" t="s">
        <v>74</v>
      </c>
      <c r="B9" t="s">
        <v>117</v>
      </c>
    </row>
    <row r="10" spans="1:20">
      <c r="A10" s="4" t="s">
        <v>75</v>
      </c>
      <c r="B10" s="84" t="s">
        <v>118</v>
      </c>
    </row>
    <row r="11" spans="1:20">
      <c r="A11" s="4"/>
      <c r="B11" s="10"/>
    </row>
    <row r="12" spans="1:20">
      <c r="A12" s="4" t="s">
        <v>36</v>
      </c>
      <c r="B12" s="83" t="s">
        <v>125</v>
      </c>
    </row>
    <row r="13" spans="1:20">
      <c r="A13" s="4" t="s">
        <v>37</v>
      </c>
      <c r="B13" t="s">
        <v>116</v>
      </c>
    </row>
    <row r="14" spans="1:20">
      <c r="A14" s="4" t="s">
        <v>38</v>
      </c>
      <c r="B14" t="s">
        <v>117</v>
      </c>
    </row>
    <row r="15" spans="1:20">
      <c r="A15" s="4" t="s">
        <v>39</v>
      </c>
      <c r="B15" s="84" t="s">
        <v>118</v>
      </c>
    </row>
    <row r="16" spans="1:20">
      <c r="A16" s="4"/>
      <c r="B16" s="10"/>
    </row>
    <row r="17" spans="1:2">
      <c r="A17" s="4" t="s">
        <v>40</v>
      </c>
      <c r="B17">
        <v>10000</v>
      </c>
    </row>
    <row r="18" spans="1:2">
      <c r="A18" s="4" t="s">
        <v>41</v>
      </c>
      <c r="B18" t="s">
        <v>119</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E18" sqref="E1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44804</v>
      </c>
      <c r="B5" s="58">
        <v>123392</v>
      </c>
      <c r="D5" s="10" t="s">
        <v>100</v>
      </c>
      <c r="E5" s="11">
        <v>9</v>
      </c>
      <c r="F5" s="39">
        <v>638553.35051099898</v>
      </c>
      <c r="G5" s="39">
        <v>6054801.8431271603</v>
      </c>
      <c r="H5" s="11" t="s">
        <v>92</v>
      </c>
      <c r="I5" s="11" t="s">
        <v>121</v>
      </c>
      <c r="J5" s="33"/>
      <c r="K5" s="11" t="s">
        <v>101</v>
      </c>
      <c r="L5" s="10" t="s">
        <v>93</v>
      </c>
      <c r="M5" s="10" t="s">
        <v>94</v>
      </c>
      <c r="N5" s="85">
        <v>1.1499999999999999</v>
      </c>
      <c r="O5" s="85">
        <v>11.5</v>
      </c>
      <c r="P5" s="10" t="s">
        <v>95</v>
      </c>
      <c r="Q5" s="10">
        <v>0.05</v>
      </c>
      <c r="R5" s="10" t="s">
        <v>96</v>
      </c>
      <c r="S5" s="10" t="s">
        <v>95</v>
      </c>
      <c r="T5" s="10">
        <v>100</v>
      </c>
      <c r="U5" s="10">
        <v>0.75</v>
      </c>
      <c r="V5" s="10">
        <v>0</v>
      </c>
      <c r="W5" s="10">
        <v>0.5</v>
      </c>
      <c r="X5" s="10" t="s">
        <v>96</v>
      </c>
      <c r="Y5" s="10">
        <v>1</v>
      </c>
      <c r="Z5" s="10">
        <v>3.6</v>
      </c>
      <c r="AA5" s="10">
        <v>1.5</v>
      </c>
      <c r="AB5" s="10" t="s">
        <v>96</v>
      </c>
      <c r="AC5" s="10" t="s">
        <v>95</v>
      </c>
      <c r="AD5" s="10" t="s">
        <v>97</v>
      </c>
      <c r="AE5" s="10" t="s">
        <v>108</v>
      </c>
      <c r="AF5" s="20">
        <f>IF(ISBLANK(Z5), 0, IF(ISBLANK(N5) &lt; 0, 0,Z5 / N5))</f>
        <v>3.1304347826086958</v>
      </c>
      <c r="AG5" s="13">
        <f>IF(O5&lt;15,0,IF(AND(O5&gt;=15,O5&lt;30),3,IF(O5&gt;=30,6,0)))</f>
        <v>0</v>
      </c>
      <c r="AH5" s="7">
        <f>IF(P5 = "No", 10, IF(ISBLANK(N5), 0, IF(ISBLANK(Q5), 0, IF(OR(Q5 / N5 &lt;= 0.2, Q5 &lt; 0.3), 5, IF(OR(Q5 / N5 &gt;= 0.2, Q5 &gt;= 0.3), 0)))))</f>
        <v>5</v>
      </c>
      <c r="AI5" s="7">
        <f>IF(V5&lt;0.15,0,IF(AND(V5&gt;=0.15,V5&lt;0.3),5,IF(V5&gt;=0.3,10,0)))</f>
        <v>0</v>
      </c>
      <c r="AJ5" s="7">
        <f>IF(Y5&lt;1,0,IF(AND(Y5&gt;=1,Y5&lt;3),5,IF(Y5&gt;=3,10,0)))</f>
        <v>5</v>
      </c>
      <c r="AK5" s="7">
        <f>IF(AF5&lt;1,0,IF(AND(AF5&gt;=1,AF5&lt;1.3),3,IF(AF5&gt;=1.3,6,0)))</f>
        <v>6</v>
      </c>
      <c r="AL5" s="12">
        <f>AG5 + AH5 + AI5 + AJ5 + AK5</f>
        <v>16</v>
      </c>
      <c r="AM5" s="14" t="str">
        <f>IF(ISBLANK(L5), "", IF(L5 = "Open Bottom Structure", "Passable", IF(L5 = "Other", "Unknown", IF(AL5 &lt; 15, "Passable", IF(AND(AL5 &gt;= 15,AL5 &lt;= 19), "Potential", IF(AL5 &gt; 19, "Barrier", ""))))))</f>
        <v>Potential</v>
      </c>
      <c r="AN5" s="10" t="s">
        <v>114</v>
      </c>
      <c r="AO5" s="10">
        <v>15</v>
      </c>
      <c r="AP5" s="78" t="s">
        <v>126</v>
      </c>
    </row>
    <row r="6" spans="1:42" ht="16">
      <c r="A6" s="59">
        <v>44804</v>
      </c>
      <c r="B6" s="58">
        <v>123393</v>
      </c>
      <c r="D6" s="10" t="s">
        <v>100</v>
      </c>
      <c r="E6" s="11">
        <v>9</v>
      </c>
      <c r="F6" s="39">
        <v>638515.95733689598</v>
      </c>
      <c r="G6" s="39">
        <v>6054721.90080259</v>
      </c>
      <c r="H6" s="10" t="s">
        <v>98</v>
      </c>
      <c r="I6" s="11" t="s">
        <v>99</v>
      </c>
      <c r="J6" s="33"/>
      <c r="K6" s="10" t="s">
        <v>101</v>
      </c>
      <c r="L6" s="10" t="s">
        <v>93</v>
      </c>
      <c r="M6" s="10" t="s">
        <v>94</v>
      </c>
      <c r="N6" s="85">
        <v>1.3</v>
      </c>
      <c r="O6" s="85">
        <v>21.2</v>
      </c>
      <c r="P6" s="10" t="s">
        <v>96</v>
      </c>
      <c r="Q6" s="86"/>
      <c r="R6" s="10" t="s">
        <v>96</v>
      </c>
      <c r="S6" s="10" t="s">
        <v>95</v>
      </c>
      <c r="T6" s="10">
        <v>90</v>
      </c>
      <c r="U6" s="10">
        <v>1.5</v>
      </c>
      <c r="V6" s="10">
        <v>0</v>
      </c>
      <c r="W6" s="10">
        <v>0.9</v>
      </c>
      <c r="X6" s="10" t="s">
        <v>96</v>
      </c>
      <c r="Y6" s="10">
        <v>1</v>
      </c>
      <c r="Z6" s="10">
        <v>2.8</v>
      </c>
      <c r="AA6" s="10">
        <v>1.5</v>
      </c>
      <c r="AB6" s="10" t="s">
        <v>95</v>
      </c>
      <c r="AC6" s="10" t="s">
        <v>96</v>
      </c>
      <c r="AD6" s="10" t="s">
        <v>97</v>
      </c>
      <c r="AE6" s="10" t="s">
        <v>108</v>
      </c>
      <c r="AF6" s="20">
        <f t="shared" ref="AF6:AF11" si="0">IF(ISBLANK(Z6), 0, IF(ISBLANK(N6) &lt; 0, 0,Z6 / N6))</f>
        <v>2.1538461538461537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10" t="s">
        <v>114</v>
      </c>
      <c r="AO6" s="10">
        <v>15</v>
      </c>
      <c r="AP6" s="78" t="s">
        <v>127</v>
      </c>
    </row>
    <row r="7" spans="1:42" ht="16">
      <c r="A7" s="59">
        <v>44804</v>
      </c>
      <c r="B7" s="58">
        <v>123426</v>
      </c>
      <c r="D7" s="10" t="s">
        <v>100</v>
      </c>
      <c r="E7" s="11">
        <v>9</v>
      </c>
      <c r="F7" s="39">
        <v>636971</v>
      </c>
      <c r="G7" s="39">
        <v>6056680</v>
      </c>
      <c r="H7" s="10" t="s">
        <v>102</v>
      </c>
      <c r="I7" s="11" t="s">
        <v>99</v>
      </c>
      <c r="J7" s="33"/>
      <c r="K7" s="10" t="s">
        <v>101</v>
      </c>
      <c r="L7" s="10" t="s">
        <v>93</v>
      </c>
      <c r="M7" s="10" t="s">
        <v>94</v>
      </c>
      <c r="N7" s="21">
        <v>1.4</v>
      </c>
      <c r="O7" s="21">
        <v>22</v>
      </c>
      <c r="P7" s="10" t="s">
        <v>95</v>
      </c>
      <c r="Q7" s="10">
        <v>0.2</v>
      </c>
      <c r="R7" s="10" t="s">
        <v>95</v>
      </c>
      <c r="S7" s="10" t="s">
        <v>96</v>
      </c>
      <c r="T7" s="86"/>
      <c r="U7" s="10">
        <v>2.2000000000000002</v>
      </c>
      <c r="V7" s="10">
        <v>0</v>
      </c>
      <c r="W7" s="10">
        <v>0.05</v>
      </c>
      <c r="X7" s="10" t="s">
        <v>96</v>
      </c>
      <c r="Y7" s="10">
        <v>1.5</v>
      </c>
      <c r="Z7" s="10">
        <v>2.2999999999999998</v>
      </c>
      <c r="AA7" s="10">
        <v>2</v>
      </c>
      <c r="AB7" s="10" t="s">
        <v>96</v>
      </c>
      <c r="AC7" s="10" t="s">
        <v>96</v>
      </c>
      <c r="AD7" s="10" t="s">
        <v>97</v>
      </c>
      <c r="AE7" s="10" t="s">
        <v>103</v>
      </c>
      <c r="AF7" s="20">
        <f t="shared" si="0"/>
        <v>1.6428571428571428</v>
      </c>
      <c r="AG7" s="13">
        <f t="shared" si="1"/>
        <v>3</v>
      </c>
      <c r="AH7" s="7">
        <f t="shared" si="2"/>
        <v>5</v>
      </c>
      <c r="AI7" s="7">
        <f t="shared" si="3"/>
        <v>0</v>
      </c>
      <c r="AJ7" s="7">
        <f t="shared" si="4"/>
        <v>5</v>
      </c>
      <c r="AK7" s="7">
        <f t="shared" si="5"/>
        <v>6</v>
      </c>
      <c r="AL7" s="12">
        <f t="shared" si="6"/>
        <v>19</v>
      </c>
      <c r="AM7" s="14" t="str">
        <f t="shared" si="7"/>
        <v>Potential</v>
      </c>
      <c r="AN7" s="10" t="s">
        <v>114</v>
      </c>
      <c r="AO7" s="10">
        <v>15</v>
      </c>
      <c r="AP7" s="10" t="s">
        <v>104</v>
      </c>
    </row>
    <row r="8" spans="1:42" ht="16">
      <c r="A8" s="59">
        <v>44802</v>
      </c>
      <c r="B8" s="82">
        <v>197657</v>
      </c>
      <c r="D8" s="10" t="s">
        <v>105</v>
      </c>
      <c r="E8" s="11">
        <v>9</v>
      </c>
      <c r="F8" s="39">
        <v>665525.12295971904</v>
      </c>
      <c r="G8" s="39">
        <v>6044125.5835258504</v>
      </c>
      <c r="H8" s="10" t="s">
        <v>106</v>
      </c>
      <c r="I8" s="11" t="s">
        <v>99</v>
      </c>
      <c r="J8" s="79"/>
      <c r="K8" s="81" t="s">
        <v>101</v>
      </c>
      <c r="L8" s="10" t="s">
        <v>93</v>
      </c>
      <c r="M8" s="10" t="s">
        <v>107</v>
      </c>
      <c r="N8" s="21">
        <v>2.2999999999999998</v>
      </c>
      <c r="O8" s="21">
        <v>17.5</v>
      </c>
      <c r="P8" s="10" t="s">
        <v>95</v>
      </c>
      <c r="Q8" s="10">
        <v>1</v>
      </c>
      <c r="R8" s="10" t="s">
        <v>95</v>
      </c>
      <c r="S8" s="10" t="s">
        <v>96</v>
      </c>
      <c r="T8" s="86"/>
      <c r="U8" s="10">
        <v>0.5</v>
      </c>
      <c r="V8" s="10">
        <v>0</v>
      </c>
      <c r="W8" s="10">
        <v>0</v>
      </c>
      <c r="X8" s="10" t="s">
        <v>96</v>
      </c>
      <c r="Y8" s="10">
        <v>1.5</v>
      </c>
      <c r="Z8" s="10">
        <v>4.5999999999999996</v>
      </c>
      <c r="AA8" s="10">
        <v>3</v>
      </c>
      <c r="AB8" s="10" t="s">
        <v>96</v>
      </c>
      <c r="AC8" s="10" t="s">
        <v>96</v>
      </c>
      <c r="AD8" s="10" t="s">
        <v>97</v>
      </c>
      <c r="AE8" s="10" t="s">
        <v>108</v>
      </c>
      <c r="AF8" s="20">
        <f t="shared" si="0"/>
        <v>2</v>
      </c>
      <c r="AG8" s="13">
        <f t="shared" si="1"/>
        <v>3</v>
      </c>
      <c r="AH8" s="7">
        <f t="shared" si="2"/>
        <v>0</v>
      </c>
      <c r="AI8" s="7">
        <f t="shared" si="3"/>
        <v>0</v>
      </c>
      <c r="AJ8" s="7">
        <f t="shared" si="4"/>
        <v>5</v>
      </c>
      <c r="AK8" s="7">
        <f t="shared" si="5"/>
        <v>6</v>
      </c>
      <c r="AL8" s="12">
        <f t="shared" si="6"/>
        <v>14</v>
      </c>
      <c r="AM8" s="14" t="str">
        <f t="shared" si="7"/>
        <v>Passable</v>
      </c>
      <c r="AN8" s="86"/>
      <c r="AO8" s="86"/>
      <c r="AP8" s="10" t="s">
        <v>123</v>
      </c>
    </row>
    <row r="9" spans="1:42" ht="16">
      <c r="A9" s="59">
        <v>44817</v>
      </c>
      <c r="B9" s="58">
        <v>123570</v>
      </c>
      <c r="D9" s="10" t="s">
        <v>109</v>
      </c>
      <c r="E9" s="11">
        <v>9</v>
      </c>
      <c r="F9" s="39">
        <v>607513.91</v>
      </c>
      <c r="G9" s="39">
        <v>6067563.1500000004</v>
      </c>
      <c r="H9" s="78" t="s">
        <v>122</v>
      </c>
      <c r="I9" s="11" t="s">
        <v>110</v>
      </c>
      <c r="J9" s="33">
        <v>3.5</v>
      </c>
      <c r="K9" s="81" t="s">
        <v>124</v>
      </c>
      <c r="L9" s="10" t="s">
        <v>111</v>
      </c>
      <c r="M9" s="10" t="s">
        <v>112</v>
      </c>
      <c r="N9" s="21">
        <v>4.5</v>
      </c>
      <c r="O9" s="21">
        <v>19</v>
      </c>
      <c r="P9" s="86"/>
      <c r="Q9" s="86"/>
      <c r="R9" s="86"/>
      <c r="S9" s="86"/>
      <c r="T9" s="86"/>
      <c r="U9" s="86"/>
      <c r="V9" s="86"/>
      <c r="W9" s="86"/>
      <c r="X9" s="86"/>
      <c r="Y9" s="86"/>
      <c r="Z9" s="86"/>
      <c r="AA9" s="86"/>
      <c r="AB9" s="10" t="s">
        <v>96</v>
      </c>
      <c r="AC9" s="10" t="s">
        <v>96</v>
      </c>
      <c r="AD9" s="86"/>
      <c r="AE9" s="86"/>
      <c r="AF9" s="20">
        <f t="shared" si="0"/>
        <v>0</v>
      </c>
      <c r="AG9" s="13">
        <f t="shared" si="1"/>
        <v>3</v>
      </c>
      <c r="AH9" s="7">
        <f t="shared" si="2"/>
        <v>0</v>
      </c>
      <c r="AI9" s="7">
        <f t="shared" si="3"/>
        <v>0</v>
      </c>
      <c r="AJ9" s="7">
        <f t="shared" si="4"/>
        <v>0</v>
      </c>
      <c r="AK9" s="7">
        <f t="shared" si="5"/>
        <v>0</v>
      </c>
      <c r="AL9" s="12">
        <f t="shared" si="6"/>
        <v>3</v>
      </c>
      <c r="AM9" s="14" t="str">
        <f t="shared" si="7"/>
        <v>Passable</v>
      </c>
      <c r="AN9" s="86"/>
      <c r="AO9" s="86"/>
      <c r="AP9" s="10" t="s">
        <v>113</v>
      </c>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qy6resvbdInREAm/viETMIP1pzje3xKuzRWz/FR8whLX3v6qE2yRVk8416t4xKP3il6sPzx1OirI3QbvFyGr/A==" saltValue="VfLHPPNpTnuniIYn/4RJJ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8 M10: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8 N10: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14 and &gt;= 0.01" sqref="Q5" xr:uid="{77B424FC-6508-4548-B666-6DFD8DD01D06}">
      <formula1>0.01</formula1>
      <formula2>1.14</formula2>
    </dataValidation>
    <dataValidation type="decimal" allowBlank="1" showInputMessage="1" showErrorMessage="1" errorTitle="Invalid value entered" error="The Average Depth Embededdment you entered is invalid. The Average Depth Embededdment must be &lt;= 1.29 and &gt;= 0.01" sqref="Q6" xr:uid="{AE33B05E-9085-46B2-965B-4F50C1B67B35}">
      <formula1>0.01</formula1>
      <formula2>1.29</formula2>
    </dataValidation>
    <dataValidation type="decimal" allowBlank="1" showInputMessage="1" showErrorMessage="1" errorTitle="Invalid value entered" error="The Average Depth Embededdment you entered is invalid. The Average Depth Embededdment must be &lt;= 1.39 and &gt;= 0.01" sqref="Q7" xr:uid="{1F48BFEC-85AC-4508-951C-15AD01095A72}">
      <formula1>0.01</formula1>
      <formula2>1.39</formula2>
    </dataValidation>
    <dataValidation type="decimal" allowBlank="1" showInputMessage="1" showErrorMessage="1" errorTitle="Invalid value entered" error="The Average Depth Embededdment you entered is invalid. The Average Depth Embededdment must be &lt;= 2.29 and &gt;= 0.01" sqref="Q8" xr:uid="{8E9B2B44-74FD-40D2-9A1D-55FCA99ED1B5}">
      <formula1>0.01</formula1>
      <formula2>2.29</formula2>
    </dataValidation>
    <dataValidation type="list" allowBlank="1" showInputMessage="1" showErrorMessage="1" errorTitle="Invalid value entered" error="The crossing subtype is not compatible with a crossing type of Open Bottom Structure" sqref="M9" xr:uid="{05BF0180-83F2-49C9-AA1D-69D07BEE29BD}">
      <formula1>"Bridge, Pipe Arch, Wood Box Culvert"</formula1>
    </dataValidation>
    <dataValidation type="decimal" allowBlank="1" showInputMessage="1" showErrorMessage="1" errorTitle="Invalid Diamter or Span" error="The Diameter or Span entered is invalid. Diameter or Span must be &gt; 0 and &lt; 100" sqref="N9" xr:uid="{93728134-4A52-406B-8935-23EC4735E77F}">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9" xr:uid="{8F4C392A-59BB-492C-A7BC-C33C6430F547}">
      <formula1>0.01</formula1>
      <formula2>4.49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2024-08-19T23:22:26Z</dcterms:modified>
</cp:coreProperties>
</file>