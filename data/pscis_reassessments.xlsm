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CCE37C54-8573-44E4-82C5-4E83E6B1AB2A}"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<sst xmlns="http://schemas.openxmlformats.org/spreadsheetml/2006/main" count="152" uniqueCount="114">
  <si>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</si>
  <si>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</si>
  <si>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</si>
  <si>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</si>
  <si>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</si>
  <si>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</si>
  <si>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</si>
  <si>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</si>
  <si>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</si>
  <si>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</si>
  <si>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</si>
  <si>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</si>
  <si>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</si>
  <si>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</si>
  <si>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</si>
  <si>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</si>
  <si>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</si>
  <si>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</si>
  <si>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</si>
  <si>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</si>
  <si>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</si>
  <si>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</si>
  <si>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</si>
  <si>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</si>
  <si>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</si>
  <si>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</si>
  <si>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</si>
  <si>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</si>
  <si>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</si>
  <si>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</si>
  <si>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</si>
  <si>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</si>
  <si>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</si>
  <si>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</si>
  <si>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</si>
  <si>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</si>
  <si>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</si>
  <si>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</si>
  <si>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</si>
  <si>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</si>
  <si>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</si>
  <si>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</si>
  <si>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</si>
  <si>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</si>
  <si>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</si>
  <si>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</si>
  <si>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</si>
  <si>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</si>
  <si>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</si>
  <si>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</si>
  <si>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</si>
  <si>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</si>
  <si>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</si>
  <si>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</si>
  <si>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</si>
  <si>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</si>
  <si>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</si>
  <si>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</si>
  <si>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</si>
  <si>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</si>
  <si>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</si>
  <si>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</si>
  <si>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</si>
  <si>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</si>
  <si>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</si>
  <si>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</si>
  <si>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</si>
  <si>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</si>
  <si>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</si>
  <si>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</si>
  <si>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</si>
  <si>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</si>
  <si>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</si>
  <si>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</si>
  <si>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</si>
  <si>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</si>
  <si>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</si>
  <si>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</si>
  <si>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</si>
  <si>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</si>
  <si>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</si>
  <si>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</si>
  <si>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</si>
  <si>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</si>
  <si>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</si>
  <si>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</si>
  <si>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</si>
  <si>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</si>
  <si>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</si>
  <si>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</si>
  <si>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</si>
  <si>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</si>
  <si>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</si>
  <si>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</si>
  <si>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</si>
  <si>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</si>
  <si>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</si>
  <si>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</si>
  <si>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</si>
  <si>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</si>
  <si>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</si>
  <si>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</si>
  <si>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</si>
  <si>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</si>
  <si>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</si>
  <si>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</si>
  <si>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</si>
  <si>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</si>
  <si>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</si>
  <si>
    <t>AI, TP</t>
  </si>
  <si>
    <t>Perow Creek</t>
  </si>
  <si>
    <t>Oval Culvert</t>
  </si>
  <si>
    <t>Medium</t>
  </si>
  <si>
    <t>Stream was dry at time of survey but had water last year during extremely dry ear. Culvert appears passable for all life stages. There is private land residential development impacting the stream with the constricted channel with a large chunks of coffee just as rip rap throughout. 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</si>
</sst>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3" sqref="AN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O5" s="10"/>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O7" s="10"/>
      <c r="AP7" s="10" t="s">
        <v>108</v>
      </c>
    </row>
    <row r="8" spans="1:42" x14ac:dyDescent="0.25">
      <c r="A8" s="59">
        <v>44802</v>
      </c>
      <c r="B8" s="82">
        <v>197657</v>
      </c>
      <c r="D8" s="10" t="s">
        <v>109</v>
      </c>
      <c r="E8" s="11">
        <v>9</v>
      </c>
      <c r="F8" s="39">
        <v>665525.12295971904</v>
      </c>
      <c r="G8" s="39">
        <v>6044125.5835258504</v>
      </c>
      <c r="H8" s="10" t="s">
        <v>110</v>
      </c>
      <c r="I8" s="11" t="s">
        <v>102</v>
      </c>
      <c r="J8" s="79"/>
      <c r="K8" s="81"/>
      <c r="L8" s="10" t="s">
        <v>94</v>
      </c>
      <c r="M8" s="10" t="s">
        <v>111</v>
      </c>
      <c r="N8" s="88">
        <v>2.2999999999999998</v>
      </c>
      <c r="O8" s="88">
        <v>17.5</v>
      </c>
      <c r="P8" s="87" t="s">
        <v>96</v>
      </c>
      <c r="Q8" s="87">
        <v>1</v>
      </c>
      <c r="R8" s="87" t="s">
        <v>96</v>
      </c>
      <c r="S8" s="87" t="s">
        <v>97</v>
      </c>
      <c r="T8" s="89"/>
      <c r="U8" s="87">
        <v>0.5</v>
      </c>
      <c r="V8" s="87">
        <v>0</v>
      </c>
      <c r="W8" s="87">
        <v>0</v>
      </c>
      <c r="X8" s="87" t="s">
        <v>97</v>
      </c>
      <c r="Y8" s="87">
        <v>1.5</v>
      </c>
      <c r="Z8" s="87">
        <v>4.5999999999999996</v>
      </c>
      <c r="AA8" s="87">
        <v>3</v>
      </c>
      <c r="AB8" s="10" t="s">
        <v>97</v>
      </c>
      <c r="AC8" s="10" t="s">
        <v>97</v>
      </c>
      <c r="AD8" s="87" t="s">
        <v>98</v>
      </c>
      <c r="AE8" s="87" t="s">
        <v>112</v>
      </c>
      <c r="AF8" s="20">
        <f t="shared" si="0"/>
        <v>2</v>
      </c>
      <c r="AG8" s="13">
        <f t="shared" si="1"/>
        <v>3</v>
      </c>
      <c r="AH8" s="7">
        <f t="shared" si="2"/>
        <v>0</v>
      </c>
      <c r="AI8" s="7">
        <f t="shared" si="3"/>
        <v>0</v>
      </c>
      <c r="AJ8" s="7">
        <f t="shared" si="4"/>
        <v>5</v>
      </c>
      <c r="AK8" s="7">
        <f t="shared" si="5"/>
        <v>6</v>
      </c>
      <c r="AL8" s="12">
        <f t="shared" si="6"/>
        <v>14</v>
      </c>
      <c r="AM8" s="14" t="str">
        <f t="shared" si="7"/>
        <v>Passable</v>
      </c>
      <c r="AN8" s="89"/>
      <c r="AO8" s="89"/>
      <c r="AP8" s="10" t="s">
        <v>113</v>
      </c>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vRBBrVMA7pCM2TlvL7hMBvZpi/P6TUu5euMOmx/V9jnycb6FYaMu7zMCx22e8hkXc7G/loy8PdC58VtpIM44A==" saltValue="3Gfe7PvV5KPNMZ/F0fWdp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list" allowBlank="1" showInputMessage="1" showErrorMessage="1" errorTitle="Invalid value entered" error="The crossing subtype is not compatible with a crossing type of Closed Bottom Structure" sqref="M8" xr:uid="{BD75633B-EA66-41B2-A40E-A3114D80D826}">
      <formula1>"Round Culvert,Oval Culvert,Concrete Box"</formula1>
    </dataValidation>
    <dataValidation type="decimal" allowBlank="1" showInputMessage="1" showErrorMessage="1" errorTitle="Invalid Diamter or Span" error="The Diameter or Span entered is invalid. Diameter or Span must be &gt; 0 and &lt; 300" sqref="N8" xr:uid="{C9462147-0BFD-4E5E-B7D0-3C39C2055B6D}">
      <formula1>0.01</formula1>
      <formula2>300</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2022-11-10T04:29:48Z</dcterms:modified>
</cp:coreProperties>
</file>