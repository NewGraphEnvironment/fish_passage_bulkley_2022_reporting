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0FF3984A-69B5-44DF-8270-508B91E0FD60}"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<sst xmlns="http://schemas.openxmlformats.org/spreadsheetml/2006/main" count="203" uniqueCount="130">
  <si>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</si>
  <si>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</si>
  <si>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</si>
  <si>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</si>
  <si>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</si>
  <si>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</si>
  <si>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</si>
  <si>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</si>
  <si>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</si>
  <si>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</si>
  <si>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</si>
  <si>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</si>
  <si>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</si>
  <si>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</si>
  <si>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</si>
  <si>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</si>
  <si>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</si>
  <si>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</si>
  <si>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</si>
  <si>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</si>
  <si>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</si>
  <si>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</si>
  <si>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</si>
  <si>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</si>
  <si>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</si>
  <si>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</si>
  <si>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</si>
  <si>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</si>
  <si>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</si>
  <si>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</si>
  <si>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</si>
  <si>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</si>
  <si>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</si>
  <si>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</si>
  <si>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</si>
  <si>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</si>
  <si>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</si>
  <si>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</si>
  <si>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</si>
  <si>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</si>
  <si>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</si>
  <si>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</si>
  <si>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</si>
  <si>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</si>
  <si>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</si>
  <si>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</si>
  <si>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</si>
  <si>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</si>
  <si>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</si>
  <si>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</si>
  <si>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</si>
  <si>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</si>
  <si>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</si>
  <si>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</si>
  <si>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</si>
  <si>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</si>
  <si>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</si>
  <si>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</si>
  <si>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</si>
  <si>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</si>
  <si>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</si>
  <si>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</si>
  <si>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</si>
  <si>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</si>
  <si>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</si>
  <si>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</si>
  <si>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</si>
  <si>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</si>
  <si>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</si>
  <si>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</si>
  <si>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</si>
  <si>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</si>
  <si>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</si>
  <si>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</si>
  <si>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</si>
  <si>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</si>
  <si>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</si>
  <si>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</si>
  <si>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</si>
  <si>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</si>
  <si>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</si>
  <si>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</si>
  <si>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</si>
  <si>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</si>
  <si>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</si>
  <si>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</si>
  <si>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</si>
  <si>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</si>
  <si>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</si>
  <si>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</si>
  <si>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</si>
  <si>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</si>
  <si>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</si>
  <si>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</si>
  <si>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</si>
  <si>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</si>
  <si>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</si>
  <si>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</si>
  <si>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</si>
  <si>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</si>
  <si>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</si>
  <si>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</si>
  <si>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</si>
  <si>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</si>
  <si>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</si>
  <si>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</si>
  <si>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</si>
  <si>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</si>
  <si>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</si>
  <si>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</si>
  <si>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</si>
  <si>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</si>
  <si>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</si>
  <si>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</si>
  <si>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</si>
  <si>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</si>
  <si>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</si>
  <si>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Valee Creek</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</si>
  <si>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</si>
  <si>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</si>
  <si>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</si>
  <si>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</si>
  <si>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</si>
  <si>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</si>
  <si>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</si>
  <si>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 xml:space="preserve">Trib to Gramaphone Creek </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</si>
  <si>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</si>
  <si>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</si>
  <si>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Waterfall Creek</t>
  </si>
  <si>
    <t xml:space="preserve">Stream is not maps correctly in the freshwater atlas. This is waterfall creek. Great flow, patches of gravel suitable for cohost Bonnie. Right within the town of New Hazelton. Trap and trucks call Hall operation occurring with spawners transplanted downstream of the railway. 16:34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</si>
</sst>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xf numFmtId="165"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0" fontId="0" fillId="10" borderId="0" xfId="0" applyFill="1" applyProtection="1"/>
    <xf numFmtId="2" fontId="0" fillId="10" borderId="0" xfId="0" applyNumberFormat="1" applyFill="1" applyProtection="1"/>
    <xf numFmtId="1"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E17" sqref="E1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121</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O5" s="10"/>
      <c r="AP5" s="78" t="s">
        <v>100</v>
      </c>
    </row>
    <row r="6" spans="1:42" x14ac:dyDescent="0.25">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O6" s="10"/>
      <c r="AP6" s="78" t="s">
        <v>106</v>
      </c>
    </row>
    <row r="7" spans="1:42" x14ac:dyDescent="0.25">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O7" s="10"/>
      <c r="AP7" s="10" t="s">
        <v>112</v>
      </c>
    </row>
    <row r="8" spans="1:42" x14ac:dyDescent="0.25">
      <c r="A8" s="59">
        <v>44803</v>
      </c>
      <c r="B8" s="82"/>
      <c r="C8" s="10">
        <v>2022083050</v>
      </c>
      <c r="D8" s="10" t="s">
        <v>113</v>
      </c>
      <c r="E8" s="11">
        <v>9</v>
      </c>
      <c r="F8" s="39">
        <v>645355</v>
      </c>
      <c r="G8" s="39">
        <v>6034873</v>
      </c>
      <c r="H8" s="10" t="s">
        <v>109</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x14ac:dyDescent="0.25">
      <c r="A9" s="59">
        <v>44804</v>
      </c>
      <c r="B9" s="58">
        <v>57793</v>
      </c>
      <c r="D9" s="10" t="s">
        <v>116</v>
      </c>
      <c r="E9" s="11">
        <v>9</v>
      </c>
      <c r="F9" s="39">
        <v>641460</v>
      </c>
      <c r="G9" s="39">
        <v>6044049</v>
      </c>
      <c r="H9" s="78" t="s">
        <v>117</v>
      </c>
      <c r="I9" s="11" t="s">
        <v>118</v>
      </c>
      <c r="J9" s="33"/>
      <c r="K9" s="10" t="s">
        <v>121</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119</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O9" s="10"/>
      <c r="AP9" s="10" t="s">
        <v>120</v>
      </c>
    </row>
    <row r="10" spans="1:42" x14ac:dyDescent="0.25">
      <c r="A10" s="59">
        <v>44814</v>
      </c>
      <c r="C10" s="10">
        <v>2022091002</v>
      </c>
      <c r="D10" s="10" t="s">
        <v>123</v>
      </c>
      <c r="E10" s="11">
        <v>9</v>
      </c>
      <c r="F10" s="39">
        <v>590233.23</v>
      </c>
      <c r="G10" s="39">
        <v>6123183.2699999996</v>
      </c>
      <c r="H10" s="78" t="s">
        <v>128</v>
      </c>
      <c r="I10" s="11" t="s">
        <v>94</v>
      </c>
      <c r="J10" s="33"/>
      <c r="K10" s="10" t="s">
        <v>121</v>
      </c>
      <c r="L10" s="10" t="s">
        <v>95</v>
      </c>
      <c r="M10" s="10" t="s">
        <v>96</v>
      </c>
      <c r="N10" s="21">
        <v>1.5</v>
      </c>
      <c r="O10" s="21">
        <v>27</v>
      </c>
      <c r="P10" s="10" t="s">
        <v>97</v>
      </c>
      <c r="Q10" s="87"/>
      <c r="R10" s="10" t="s">
        <v>97</v>
      </c>
      <c r="S10" s="10" t="s">
        <v>97</v>
      </c>
      <c r="T10" s="87"/>
      <c r="U10" s="21">
        <v>1</v>
      </c>
      <c r="V10" s="10">
        <v>0</v>
      </c>
      <c r="W10" s="21">
        <v>0.2</v>
      </c>
      <c r="X10" s="10" t="s">
        <v>107</v>
      </c>
      <c r="Z10" s="21">
        <v>3.9</v>
      </c>
      <c r="AA10" s="10">
        <v>2.5</v>
      </c>
      <c r="AB10" s="10" t="s">
        <v>97</v>
      </c>
      <c r="AC10" s="10" t="s">
        <v>107</v>
      </c>
      <c r="AE10" s="10" t="s">
        <v>119</v>
      </c>
      <c r="AF10" s="20">
        <f t="shared" si="0"/>
        <v>2.6</v>
      </c>
      <c r="AG10" s="13">
        <f t="shared" si="1"/>
        <v>3</v>
      </c>
      <c r="AH10" s="7">
        <f t="shared" si="2"/>
        <v>10</v>
      </c>
      <c r="AI10" s="7">
        <f t="shared" si="3"/>
        <v>0</v>
      </c>
      <c r="AJ10" s="7">
        <f t="shared" si="4"/>
        <v>0</v>
      </c>
      <c r="AK10" s="7">
        <f t="shared" si="5"/>
        <v>6</v>
      </c>
      <c r="AL10" s="12">
        <f t="shared" si="6"/>
        <v>19</v>
      </c>
      <c r="AM10" s="14" t="str">
        <f t="shared" si="7"/>
        <v>Potential</v>
      </c>
      <c r="AP10" s="10" t="s">
        <v>129</v>
      </c>
    </row>
    <row r="11" spans="1:42" x14ac:dyDescent="0.25">
      <c r="A11" s="59">
        <v>44803</v>
      </c>
      <c r="B11" s="58">
        <v>195944</v>
      </c>
      <c r="C11" s="78"/>
      <c r="D11" s="10" t="s">
        <v>108</v>
      </c>
      <c r="E11" s="10">
        <v>9</v>
      </c>
      <c r="F11" s="80">
        <v>646015.19120994303</v>
      </c>
      <c r="G11" s="80">
        <v>6035569.6458600396</v>
      </c>
      <c r="H11" s="78" t="s">
        <v>109</v>
      </c>
      <c r="I11" s="11" t="s">
        <v>94</v>
      </c>
      <c r="J11" s="33"/>
      <c r="K11" s="10" t="s">
        <v>121</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O11" s="10"/>
      <c r="AP11" s="10" t="s">
        <v>122</v>
      </c>
    </row>
    <row r="12" spans="1:42" ht="30" x14ac:dyDescent="0.25">
      <c r="A12" s="90">
        <v>44805</v>
      </c>
      <c r="B12" s="58">
        <v>58067</v>
      </c>
      <c r="C12" s="88"/>
      <c r="D12" s="88" t="s">
        <v>126</v>
      </c>
      <c r="E12" s="91">
        <v>9</v>
      </c>
      <c r="F12" s="92">
        <v>609735.82349958899</v>
      </c>
      <c r="G12" s="92">
        <v>6092879.9218358202</v>
      </c>
      <c r="H12" s="91" t="s">
        <v>125</v>
      </c>
      <c r="I12" s="91" t="s">
        <v>124</v>
      </c>
      <c r="J12" s="33"/>
      <c r="K12" s="11" t="s">
        <v>121</v>
      </c>
      <c r="L12" s="88" t="s">
        <v>95</v>
      </c>
      <c r="M12" s="88" t="s">
        <v>111</v>
      </c>
      <c r="N12" s="89">
        <v>2.2000000000000002</v>
      </c>
      <c r="O12" s="89">
        <v>15.8</v>
      </c>
      <c r="P12" s="88" t="s">
        <v>97</v>
      </c>
      <c r="Q12" s="93"/>
      <c r="R12" s="88" t="s">
        <v>97</v>
      </c>
      <c r="S12" s="88" t="s">
        <v>97</v>
      </c>
      <c r="T12" s="94"/>
      <c r="U12" s="89">
        <v>1.8</v>
      </c>
      <c r="V12" s="88">
        <v>0.49</v>
      </c>
      <c r="W12" s="89">
        <v>1.46</v>
      </c>
      <c r="X12" s="88" t="s">
        <v>107</v>
      </c>
      <c r="Y12" s="89">
        <v>0.3</v>
      </c>
      <c r="Z12" s="89">
        <v>6.6</v>
      </c>
      <c r="AA12" s="88">
        <v>4</v>
      </c>
      <c r="AB12" s="88" t="s">
        <v>97</v>
      </c>
      <c r="AC12" s="88" t="s">
        <v>97</v>
      </c>
      <c r="AD12" s="88" t="s">
        <v>98</v>
      </c>
      <c r="AE12" s="88" t="s">
        <v>119</v>
      </c>
      <c r="AF12" s="20">
        <f t="shared" ref="AF12:AF72" si="8">IF(ISBLANK(Z12), 0, IF(ISBLANK(N12) &lt; 0, 0,Z12 / N12))</f>
        <v>2.9999999999999996</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N12" s="88"/>
      <c r="AO12" s="89"/>
      <c r="AP12" s="88" t="s">
        <v>127</v>
      </c>
    </row>
    <row r="13" spans="1:42" x14ac:dyDescent="0.25">
      <c r="A13" s="90"/>
      <c r="B13" s="95"/>
      <c r="D13" s="88"/>
      <c r="E13" s="91"/>
      <c r="F13" s="92"/>
      <c r="G13" s="92"/>
      <c r="H13" s="91"/>
      <c r="I13" s="91"/>
      <c r="K13" s="91"/>
      <c r="L13" s="88"/>
      <c r="M13" s="88"/>
      <c r="N13" s="89"/>
      <c r="O13" s="89"/>
      <c r="P13" s="88"/>
      <c r="Q13" s="88"/>
      <c r="R13" s="88"/>
      <c r="S13" s="88"/>
      <c r="T13" s="88"/>
      <c r="U13" s="89"/>
      <c r="V13" s="88"/>
      <c r="W13" s="89"/>
      <c r="X13" s="88"/>
      <c r="Y13" s="89"/>
      <c r="Z13" s="89"/>
      <c r="AA13" s="88"/>
      <c r="AB13" s="88"/>
      <c r="AC13" s="88"/>
      <c r="AD13" s="88"/>
      <c r="AE13" s="88"/>
      <c r="AF13" s="20">
        <f t="shared" si="8"/>
        <v>0</v>
      </c>
      <c r="AG13" s="13">
        <f t="shared" si="1"/>
        <v>0</v>
      </c>
      <c r="AH13" s="7">
        <f t="shared" si="2"/>
        <v>0</v>
      </c>
      <c r="AI13" s="7">
        <f t="shared" si="3"/>
        <v>0</v>
      </c>
      <c r="AJ13" s="7">
        <f t="shared" si="4"/>
        <v>0</v>
      </c>
      <c r="AK13" s="7">
        <f t="shared" si="5"/>
        <v>0</v>
      </c>
      <c r="AL13" s="12">
        <f t="shared" si="9"/>
        <v>0</v>
      </c>
      <c r="AM13" s="14" t="str">
        <f t="shared" si="7"/>
        <v/>
      </c>
      <c r="AN13" s="88"/>
      <c r="AO13" s="89"/>
      <c r="AP13" s="88"/>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Sh6I6zBOgucTSIzCBV5XekRH920J3ylmAARvNyGu5Rzl7pBMI20a7FBTdzXdbqyvldwjPL1qs2CPG14AobANg==" saltValue="WCHHRfmH2OGmIMWta0E0e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3:M14 M5:M7 M9:M11"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13:N14 N5:N7 N9:N11"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decimal" allowBlank="1" showInputMessage="1" showErrorMessage="1" errorTitle="Invalid value entered" error="The Average Depth Embededdment you entered is invalid. The Average Depth Embededdment must be &lt;= 2.19 and &gt;= 0.01" sqref="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list" allowBlank="1" showInputMessage="1" showErrorMessage="1" errorTitle="Invalid value entered" error="The crossing subtype is not compatible with a crossing type of Closed Bottom Structure" sqref="M12" xr:uid="{F3A9969A-DB17-433C-9635-1C871B9168ED}">
      <formula1>"Round Culvert,Oval Culvert,Concrete Box"</formula1>
    </dataValidation>
    <dataValidation type="decimal" allowBlank="1" showInputMessage="1" showErrorMessage="1" errorTitle="Invalid Diamter or Span" error="The Diameter or Span entered is invalid. Diameter or Span must be &gt; 0 and &lt; 300" sqref="N12" xr:uid="{8334672C-1E68-4F2B-A2FE-1852C5DCC647}">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2" xr:uid="{7E735CC9-A892-48EA-A48C-B58E7108B7D7}">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2022-12-14T17:13:51Z</dcterms:modified>
</cp:coreProperties>
</file>