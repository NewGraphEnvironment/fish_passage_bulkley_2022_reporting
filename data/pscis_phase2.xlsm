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611AD2C7-A61E-42C7-A496-3916BE0FB342}" xr6:coauthVersionLast="47" xr6:coauthVersionMax="47" xr10:uidLastSave="{00000000-0000-0000-0000-000000000000}"/>
  <bookViews>
    <workbookView xWindow="-21285" yWindow="4185" windowWidth="17925" windowHeight="11295"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<sst xmlns="http://schemas.openxmlformats.org/spreadsheetml/2006/main" count="217" uniqueCount="135">
  <si>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</si>
  <si>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</si>
  <si>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</si>
  <si>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</si>
  <si>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</si>
  <si>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</si>
  <si>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</si>
  <si>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</si>
  <si>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</si>
  <si>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</si>
  <si>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</si>
  <si>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</si>
  <si>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</si>
  <si>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</si>
  <si>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</si>
  <si>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</si>
  <si>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</si>
  <si>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</si>
  <si>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</si>
  <si>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</si>
  <si>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</si>
  <si>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</si>
  <si>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</si>
  <si>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</si>
  <si>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</si>
  <si>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</si>
  <si>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</si>
  <si>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</si>
  <si>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</si>
  <si>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</si>
  <si>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</si>
  <si>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</si>
  <si>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</si>
  <si>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</si>
  <si>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</si>
  <si>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</si>
  <si>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</si>
  <si>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</si>
  <si>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</si>
  <si>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</si>
  <si>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</si>
  <si>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</si>
  <si>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</si>
  <si>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</si>
  <si>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</si>
  <si>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</si>
  <si>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</si>
  <si>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</si>
  <si>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</si>
  <si>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</si>
  <si>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</si>
  <si>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</si>
  <si>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</si>
  <si>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</si>
  <si>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</si>
  <si>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</si>
  <si>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</si>
  <si>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</si>
  <si>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</si>
  <si>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</si>
  <si>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</si>
  <si>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</si>
  <si>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</si>
  <si>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</si>
  <si>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</si>
  <si>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</si>
  <si>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</si>
  <si>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</si>
  <si>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</si>
  <si>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</si>
  <si>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</si>
  <si>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</si>
  <si>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</si>
  <si>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</si>
  <si>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</si>
  <si>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</si>
  <si>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</si>
  <si>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</si>
  <si>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</si>
  <si>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</si>
  <si>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</si>
  <si>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</si>
  <si>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</si>
  <si>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</si>
  <si>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</si>
  <si>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</si>
  <si>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</si>
  <si>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</si>
  <si>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</si>
  <si>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</si>
  <si>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</si>
  <si>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</si>
  <si>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Watson Creek</t>
  </si>
  <si>
    <t>Highway 16</t>
  </si>
  <si>
    <t>Closed Bottom Structure</t>
  </si>
  <si>
    <t>Round Culvert</t>
  </si>
  <si>
    <t>No</t>
  </si>
  <si>
    <t>Deep Fill</t>
  </si>
  <si>
    <t>Medium</t>
  </si>
  <si>
    <t>Perow Creek</t>
  </si>
  <si>
    <t>Low</t>
  </si>
  <si>
    <t>Yes</t>
  </si>
  <si>
    <t>Stock Creek</t>
  </si>
  <si>
    <t>Oval Culvert</t>
  </si>
  <si>
    <t>High</t>
  </si>
  <si>
    <t>MoTi</t>
  </si>
  <si>
    <t>AI</t>
  </si>
  <si>
    <t>Tributary to Waterfall Creek</t>
  </si>
  <si>
    <t xml:space="preserve">Gramophone Creek </t>
  </si>
  <si>
    <t>Vallee Creek</t>
  </si>
  <si>
    <t>Replace with New Open Bottom Structure</t>
  </si>
  <si>
    <t>bulkley_2022_Phase2</t>
  </si>
  <si>
    <t>Bulkley River Fish Passage Restoration Planning 2022 - Phase 2</t>
  </si>
  <si>
    <t>00180607</t>
  </si>
  <si>
    <t>Al Irvine</t>
  </si>
  <si>
    <t>250-777-1518</t>
  </si>
  <si>
    <t>al@newgraphenvironment.com</t>
  </si>
  <si>
    <t>186987</t>
  </si>
  <si>
    <t>OTHER</t>
  </si>
  <si>
    <t>Very large outlet drop, but creates nice pool for fish. Erosion on left and right bank on outlet side. Agricultural fields, minimal municipality population downstream. Road is paved, detour available. 10:25</t>
  </si>
  <si>
    <t>Length 167 m. Fill depth estimated at approximately 35 m. 14:35</t>
  </si>
  <si>
    <t>Gradient of culvert shot with laser level. Inside of pipe is bent downward at the outlet. Upstream side of the road is eroding. Enormous outlet pool indicates culvert is undersized. Water flowing under overflow. Just outside of Witset community. Seems like a really good candidate for replacement. 10:26</t>
  </si>
  <si>
    <t xml:space="preserve">Stream is not mapped correctly in the freshwater atlas as it actually flows north through town. Great flow, patches of gravel suitable for coho spawning. Located right within the town of New Hazelton. Trap and truck coho operation occurring with spawners transplanted upstream of the railway and 14th avenue. 16:34                 </t>
  </si>
  <si>
    <t>Slight outlet drop, low water levels would be a fish passage issue. Little amount of water running through culvert. Deep pool at outlet of culvert, good for fish. Boulders in culvert, which are obstacles to fish. 9:34</t>
  </si>
  <si>
    <t>Stream is dry. Private yards upstream and downstream. Riprap and cement present in channel near crossing. 10:48</t>
  </si>
  <si>
    <t>Deep and large outlet pool indicate the culvert is significantly undersized. Condition of the pipe is poor with corrosion and some collapsing in the middle of the pipe. 0.6m diameter overflow pipe located adjacent to the main culvert. Some decent gravels downstream. 15:52</t>
  </si>
  <si>
    <t>Perow Loop Rd</t>
  </si>
  <si>
    <t>Barrett Station Rd</t>
  </si>
  <si>
    <t>Walcott Rd</t>
  </si>
  <si>
    <t>Telkwa High Rd</t>
  </si>
  <si>
    <t>MW AI</t>
  </si>
  <si>
    <t>MW TP</t>
  </si>
  <si>
    <t>MW TP AI VJ AN DN</t>
  </si>
  <si>
    <t>MW DN TP AN</t>
  </si>
  <si>
    <t>AI CM 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</si>
</sst>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111</v>
      </c>
    </row>
    <row r="5" spans="1:20" x14ac:dyDescent="0.25">
      <c r="A5" s="4" t="s">
        <v>58</v>
      </c>
      <c r="B5" t="s">
        <v>112</v>
      </c>
    </row>
    <row r="6" spans="1:20" x14ac:dyDescent="0.25">
      <c r="A6" s="4"/>
      <c r="B6" s="10"/>
    </row>
    <row r="7" spans="1:20" x14ac:dyDescent="0.25">
      <c r="A7" s="4" t="s">
        <v>86</v>
      </c>
      <c r="B7" s="80" t="s">
        <v>113</v>
      </c>
    </row>
    <row r="8" spans="1:20" x14ac:dyDescent="0.25">
      <c r="A8" s="4" t="s">
        <v>73</v>
      </c>
      <c r="B8" t="s">
        <v>114</v>
      </c>
    </row>
    <row r="9" spans="1:20" x14ac:dyDescent="0.25">
      <c r="A9" s="4" t="s">
        <v>74</v>
      </c>
      <c r="B9" t="s">
        <v>115</v>
      </c>
    </row>
    <row r="10" spans="1:20" x14ac:dyDescent="0.25">
      <c r="A10" s="4" t="s">
        <v>75</v>
      </c>
      <c r="B10" s="81" t="s">
        <v>116</v>
      </c>
    </row>
    <row r="11" spans="1:20" x14ac:dyDescent="0.25">
      <c r="A11" s="4"/>
      <c r="B11" s="10"/>
    </row>
    <row r="12" spans="1:20" x14ac:dyDescent="0.25">
      <c r="A12" s="4" t="s">
        <v>36</v>
      </c>
      <c r="B12" s="80" t="s">
        <v>117</v>
      </c>
    </row>
    <row r="13" spans="1:20" x14ac:dyDescent="0.25">
      <c r="A13" s="4" t="s">
        <v>37</v>
      </c>
      <c r="B13" t="s">
        <v>114</v>
      </c>
    </row>
    <row r="14" spans="1:20" x14ac:dyDescent="0.25">
      <c r="A14" s="4" t="s">
        <v>38</v>
      </c>
      <c r="B14" t="s">
        <v>115</v>
      </c>
    </row>
    <row r="15" spans="1:20" x14ac:dyDescent="0.25">
      <c r="A15" s="4" t="s">
        <v>39</v>
      </c>
      <c r="B15" s="81" t="s">
        <v>116</v>
      </c>
    </row>
    <row r="16" spans="1:20" x14ac:dyDescent="0.25">
      <c r="A16" s="4"/>
      <c r="B16" s="10"/>
    </row>
    <row r="17" spans="1:2" x14ac:dyDescent="0.25">
      <c r="A17" s="4" t="s">
        <v>40</v>
      </c>
      <c r="B17">
        <v>25000</v>
      </c>
    </row>
    <row r="18" spans="1:2" x14ac:dyDescent="0.25">
      <c r="A18" s="4" t="s">
        <v>41</v>
      </c>
      <c r="B18" t="s">
        <v>118</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9" priority="4" stopIfTrue="1">
      <formula>LEN(TRIM(B13))=0</formula>
    </cfRule>
  </conditionalFormatting>
  <conditionalFormatting sqref="B7">
    <cfRule type="containsBlanks" dxfId="8" priority="5" stopIfTrue="1">
      <formula>LEN(TRIM(B7))=0</formula>
    </cfRule>
  </conditionalFormatting>
  <conditionalFormatting sqref="B8:B10">
    <cfRule type="containsBlanks" dxfId="7" priority="6" stopIfTrue="1">
      <formula>LEN(TRIM(B8))=0</formula>
    </cfRule>
  </conditionalFormatting>
  <conditionalFormatting sqref="B12">
    <cfRule type="containsBlanks" dxfId="6" priority="3" stopIfTrue="1">
      <formula>LEN(TRIM(B12))=0</formula>
    </cfRule>
  </conditionalFormatting>
  <conditionalFormatting sqref="B17:B18">
    <cfRule type="containsBlanks" dxfId="5" priority="2" stopIfTrue="1">
      <formula>LEN(TRIM(B17))=0</formula>
    </cfRule>
  </conditionalFormatting>
  <conditionalFormatting sqref="B4">
    <cfRule type="containsBlanks" dxfId="4" priority="7" stopIfTrue="1">
      <formula>LEN(TRIM(B4))=0</formula>
    </cfRule>
  </conditionalFormatting>
  <conditionalFormatting sqref="B5">
    <cfRule type="containsBlanks" dxfId="3"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B1" zoomScale="85" zoomScaleNormal="85" workbookViewId="0">
      <pane ySplit="4" topLeftCell="A5" activePane="bottomLeft" state="frozen"/>
      <selection pane="bottomLeft" activeCell="AO5" sqref="AO5"/>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130</v>
      </c>
      <c r="E5" s="11">
        <v>9</v>
      </c>
      <c r="F5" s="39">
        <v>680379</v>
      </c>
      <c r="G5" s="39">
        <v>6040073</v>
      </c>
      <c r="H5" s="11" t="s">
        <v>92</v>
      </c>
      <c r="I5" s="11" t="s">
        <v>93</v>
      </c>
      <c r="J5" s="33"/>
      <c r="K5" s="11" t="s">
        <v>105</v>
      </c>
      <c r="L5" s="10" t="s">
        <v>94</v>
      </c>
      <c r="M5" s="10" t="s">
        <v>95</v>
      </c>
      <c r="N5" s="82">
        <v>0.9</v>
      </c>
      <c r="O5" s="82">
        <v>25.5</v>
      </c>
      <c r="P5" s="10" t="s">
        <v>96</v>
      </c>
      <c r="Q5" s="83"/>
      <c r="R5" s="10" t="s">
        <v>96</v>
      </c>
      <c r="S5" s="10" t="s">
        <v>96</v>
      </c>
      <c r="T5" s="83"/>
      <c r="U5" s="10">
        <v>3</v>
      </c>
      <c r="V5" s="10">
        <v>1</v>
      </c>
      <c r="W5" s="10">
        <v>1.2</v>
      </c>
      <c r="X5" s="10" t="s">
        <v>96</v>
      </c>
      <c r="Y5" s="10">
        <v>3.5</v>
      </c>
      <c r="Z5" s="10">
        <v>3.4</v>
      </c>
      <c r="AA5" s="10">
        <v>2</v>
      </c>
      <c r="AB5" s="10" t="s">
        <v>96</v>
      </c>
      <c r="AC5" s="10" t="s">
        <v>96</v>
      </c>
      <c r="AD5" s="10" t="s">
        <v>97</v>
      </c>
      <c r="AE5" s="10" t="s">
        <v>98</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110</v>
      </c>
      <c r="AO5" s="10">
        <v>15</v>
      </c>
      <c r="AP5" s="78" t="s">
        <v>125</v>
      </c>
    </row>
    <row r="6" spans="1:42" x14ac:dyDescent="0.25">
      <c r="A6" s="59">
        <v>44802</v>
      </c>
      <c r="B6" s="58">
        <v>197653</v>
      </c>
      <c r="D6" s="10" t="s">
        <v>131</v>
      </c>
      <c r="E6" s="11">
        <v>9</v>
      </c>
      <c r="F6" s="39">
        <v>665520</v>
      </c>
      <c r="G6" s="39">
        <v>6044200</v>
      </c>
      <c r="H6" s="10" t="s">
        <v>99</v>
      </c>
      <c r="I6" s="11" t="s">
        <v>126</v>
      </c>
      <c r="J6" s="33"/>
      <c r="K6" s="10" t="s">
        <v>105</v>
      </c>
      <c r="L6" s="10" t="s">
        <v>94</v>
      </c>
      <c r="M6" s="10" t="s">
        <v>95</v>
      </c>
      <c r="N6" s="82">
        <v>2.2999999999999998</v>
      </c>
      <c r="O6" s="82">
        <v>28</v>
      </c>
      <c r="P6" s="10" t="s">
        <v>96</v>
      </c>
      <c r="Q6" s="83"/>
      <c r="R6" s="10" t="s">
        <v>96</v>
      </c>
      <c r="S6" s="10" t="s">
        <v>96</v>
      </c>
      <c r="T6" s="83"/>
      <c r="U6" s="10">
        <v>0.5</v>
      </c>
      <c r="V6" s="10">
        <v>0.3</v>
      </c>
      <c r="W6" s="10">
        <v>0</v>
      </c>
      <c r="X6" s="10" t="s">
        <v>96</v>
      </c>
      <c r="Y6" s="10">
        <v>1.5</v>
      </c>
      <c r="Z6" s="10">
        <v>4.3</v>
      </c>
      <c r="AA6" s="10">
        <v>4</v>
      </c>
      <c r="AB6" s="10" t="s">
        <v>96</v>
      </c>
      <c r="AC6" s="10" t="s">
        <v>96</v>
      </c>
      <c r="AD6" s="10" t="s">
        <v>97</v>
      </c>
      <c r="AE6" s="10" t="s">
        <v>100</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110</v>
      </c>
      <c r="AO6" s="10">
        <v>15</v>
      </c>
      <c r="AP6" s="78" t="s">
        <v>124</v>
      </c>
    </row>
    <row r="7" spans="1:42" x14ac:dyDescent="0.25">
      <c r="A7" s="59">
        <v>44803</v>
      </c>
      <c r="B7" s="58">
        <v>195943</v>
      </c>
      <c r="D7" s="10" t="s">
        <v>132</v>
      </c>
      <c r="E7" s="11">
        <v>9</v>
      </c>
      <c r="F7" s="39">
        <v>645434</v>
      </c>
      <c r="G7" s="39">
        <v>6035035</v>
      </c>
      <c r="H7" s="10" t="s">
        <v>102</v>
      </c>
      <c r="I7" s="11" t="s">
        <v>127</v>
      </c>
      <c r="J7" s="33"/>
      <c r="K7" s="10" t="s">
        <v>105</v>
      </c>
      <c r="L7" s="10" t="s">
        <v>94</v>
      </c>
      <c r="M7" s="10" t="s">
        <v>103</v>
      </c>
      <c r="N7" s="21">
        <v>2</v>
      </c>
      <c r="O7" s="21">
        <v>14.5</v>
      </c>
      <c r="P7" s="10" t="s">
        <v>96</v>
      </c>
      <c r="Q7" s="83"/>
      <c r="R7" s="10" t="s">
        <v>96</v>
      </c>
      <c r="S7" s="10" t="s">
        <v>96</v>
      </c>
      <c r="T7" s="83"/>
      <c r="U7" s="10">
        <v>0.6</v>
      </c>
      <c r="V7" s="10">
        <v>1.1000000000000001</v>
      </c>
      <c r="W7" s="10">
        <v>0.71</v>
      </c>
      <c r="X7" s="10" t="s">
        <v>96</v>
      </c>
      <c r="Y7" s="10">
        <v>1.5</v>
      </c>
      <c r="Z7" s="10">
        <v>3</v>
      </c>
      <c r="AA7" s="10">
        <v>3</v>
      </c>
      <c r="AB7" s="10" t="s">
        <v>96</v>
      </c>
      <c r="AC7" s="10" t="s">
        <v>101</v>
      </c>
      <c r="AD7" s="10" t="s">
        <v>97</v>
      </c>
      <c r="AE7" s="10" t="s">
        <v>98</v>
      </c>
      <c r="AF7" s="20">
        <f t="shared" si="0"/>
        <v>1.5</v>
      </c>
      <c r="AG7" s="13">
        <f t="shared" si="1"/>
        <v>0</v>
      </c>
      <c r="AH7" s="7">
        <f t="shared" si="2"/>
        <v>10</v>
      </c>
      <c r="AI7" s="7">
        <f t="shared" si="3"/>
        <v>10</v>
      </c>
      <c r="AJ7" s="7">
        <f t="shared" si="4"/>
        <v>5</v>
      </c>
      <c r="AK7" s="7">
        <f t="shared" si="5"/>
        <v>6</v>
      </c>
      <c r="AL7" s="12">
        <f t="shared" si="6"/>
        <v>31</v>
      </c>
      <c r="AM7" s="14" t="str">
        <f t="shared" si="7"/>
        <v>Barrier</v>
      </c>
      <c r="AN7" s="10" t="s">
        <v>110</v>
      </c>
      <c r="AO7" s="10">
        <v>15</v>
      </c>
      <c r="AP7" s="10" t="s">
        <v>119</v>
      </c>
    </row>
    <row r="8" spans="1:42" x14ac:dyDescent="0.25">
      <c r="A8" s="59">
        <v>44803</v>
      </c>
      <c r="B8" s="85">
        <v>195944</v>
      </c>
      <c r="D8" s="10" t="s">
        <v>132</v>
      </c>
      <c r="E8" s="11">
        <v>9</v>
      </c>
      <c r="F8" s="39">
        <v>646015.19120994303</v>
      </c>
      <c r="G8" s="39">
        <v>6035569.6458600396</v>
      </c>
      <c r="H8" s="10" t="s">
        <v>102</v>
      </c>
      <c r="I8" s="11" t="s">
        <v>93</v>
      </c>
      <c r="J8" s="79"/>
      <c r="K8" s="86" t="s">
        <v>105</v>
      </c>
      <c r="L8" s="10" t="s">
        <v>94</v>
      </c>
      <c r="M8" s="10" t="s">
        <v>95</v>
      </c>
      <c r="N8" s="21">
        <v>1.8</v>
      </c>
      <c r="O8" s="21">
        <v>99</v>
      </c>
      <c r="P8" s="10" t="s">
        <v>96</v>
      </c>
      <c r="Q8" s="83"/>
      <c r="R8" s="10" t="s">
        <v>96</v>
      </c>
      <c r="S8" s="10" t="s">
        <v>96</v>
      </c>
      <c r="T8" s="83"/>
      <c r="U8" s="10">
        <v>9.99</v>
      </c>
      <c r="V8" s="10">
        <v>1.5</v>
      </c>
      <c r="W8" s="10">
        <v>0.25</v>
      </c>
      <c r="X8" s="10" t="s">
        <v>96</v>
      </c>
      <c r="Y8" s="10">
        <v>3.5</v>
      </c>
      <c r="Z8" s="10">
        <v>2.6</v>
      </c>
      <c r="AA8" s="10">
        <v>2</v>
      </c>
      <c r="AB8" s="10" t="s">
        <v>96</v>
      </c>
      <c r="AC8" s="10" t="s">
        <v>101</v>
      </c>
      <c r="AD8" s="10" t="s">
        <v>97</v>
      </c>
      <c r="AE8" s="10" t="s">
        <v>98</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10" t="s">
        <v>110</v>
      </c>
      <c r="AO8" s="10">
        <v>15</v>
      </c>
      <c r="AP8" s="10" t="s">
        <v>120</v>
      </c>
    </row>
    <row r="9" spans="1:42" x14ac:dyDescent="0.25">
      <c r="A9" s="59">
        <v>44804</v>
      </c>
      <c r="B9" s="58">
        <v>57793</v>
      </c>
      <c r="D9" s="10" t="s">
        <v>133</v>
      </c>
      <c r="E9" s="11">
        <v>9</v>
      </c>
      <c r="F9" s="39">
        <v>641460</v>
      </c>
      <c r="G9" s="39">
        <v>6044049</v>
      </c>
      <c r="H9" s="78" t="s">
        <v>109</v>
      </c>
      <c r="I9" s="11" t="s">
        <v>128</v>
      </c>
      <c r="J9" s="33"/>
      <c r="K9" s="10" t="s">
        <v>105</v>
      </c>
      <c r="L9" s="10" t="s">
        <v>94</v>
      </c>
      <c r="M9" s="10" t="s">
        <v>95</v>
      </c>
      <c r="N9" s="21">
        <v>3</v>
      </c>
      <c r="O9" s="21">
        <v>20</v>
      </c>
      <c r="P9" s="10" t="s">
        <v>96</v>
      </c>
      <c r="Q9" s="83"/>
      <c r="R9" s="10" t="s">
        <v>96</v>
      </c>
      <c r="S9" s="10" t="s">
        <v>96</v>
      </c>
      <c r="T9" s="83"/>
      <c r="U9" s="10">
        <v>1</v>
      </c>
      <c r="V9" s="10">
        <v>0.1</v>
      </c>
      <c r="W9" s="10">
        <v>0.5</v>
      </c>
      <c r="X9" s="10" t="s">
        <v>96</v>
      </c>
      <c r="Y9" s="10">
        <v>2</v>
      </c>
      <c r="Z9" s="10">
        <v>4.7</v>
      </c>
      <c r="AA9" s="10">
        <v>3</v>
      </c>
      <c r="AB9" s="10" t="s">
        <v>96</v>
      </c>
      <c r="AC9" s="10" t="s">
        <v>101</v>
      </c>
      <c r="AD9" s="10" t="s">
        <v>97</v>
      </c>
      <c r="AE9" s="10" t="s">
        <v>104</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110</v>
      </c>
      <c r="AO9" s="10">
        <v>15</v>
      </c>
      <c r="AP9" s="10" t="s">
        <v>123</v>
      </c>
    </row>
    <row r="10" spans="1:42" x14ac:dyDescent="0.25">
      <c r="A10" s="59">
        <v>44814</v>
      </c>
      <c r="B10" s="58">
        <v>198116</v>
      </c>
      <c r="D10" s="10" t="s">
        <v>106</v>
      </c>
      <c r="E10" s="11">
        <v>9</v>
      </c>
      <c r="F10" s="39">
        <v>590233.23</v>
      </c>
      <c r="G10" s="39">
        <v>6123183.2699999996</v>
      </c>
      <c r="H10" s="78" t="s">
        <v>107</v>
      </c>
      <c r="I10" s="11" t="s">
        <v>93</v>
      </c>
      <c r="J10" s="33"/>
      <c r="K10" s="10" t="s">
        <v>105</v>
      </c>
      <c r="L10" s="10" t="s">
        <v>94</v>
      </c>
      <c r="M10" s="10" t="s">
        <v>95</v>
      </c>
      <c r="N10" s="21">
        <v>1.5</v>
      </c>
      <c r="O10" s="21">
        <v>27</v>
      </c>
      <c r="P10" s="10" t="s">
        <v>96</v>
      </c>
      <c r="Q10" s="84"/>
      <c r="R10" s="10" t="s">
        <v>96</v>
      </c>
      <c r="S10" s="10" t="s">
        <v>96</v>
      </c>
      <c r="T10" s="84"/>
      <c r="U10" s="21">
        <v>1</v>
      </c>
      <c r="V10" s="10">
        <v>0</v>
      </c>
      <c r="W10" s="21">
        <v>0.2</v>
      </c>
      <c r="X10" s="10" t="s">
        <v>101</v>
      </c>
      <c r="Y10" s="21">
        <v>2.5</v>
      </c>
      <c r="Z10" s="21">
        <v>3.9</v>
      </c>
      <c r="AA10" s="10">
        <v>2.5</v>
      </c>
      <c r="AB10" s="10" t="s">
        <v>96</v>
      </c>
      <c r="AC10" s="10" t="s">
        <v>101</v>
      </c>
      <c r="AD10" s="10" t="s">
        <v>97</v>
      </c>
      <c r="AE10" s="10" t="s">
        <v>104</v>
      </c>
      <c r="AF10" s="20">
        <f t="shared" si="0"/>
        <v>2.6</v>
      </c>
      <c r="AG10" s="13">
        <f t="shared" si="1"/>
        <v>3</v>
      </c>
      <c r="AH10" s="7">
        <f t="shared" si="2"/>
        <v>10</v>
      </c>
      <c r="AI10" s="7">
        <f t="shared" si="3"/>
        <v>0</v>
      </c>
      <c r="AJ10" s="7">
        <f t="shared" si="4"/>
        <v>5</v>
      </c>
      <c r="AK10" s="7">
        <f t="shared" si="5"/>
        <v>6</v>
      </c>
      <c r="AL10" s="12">
        <f t="shared" si="6"/>
        <v>24</v>
      </c>
      <c r="AM10" s="14" t="str">
        <f t="shared" si="7"/>
        <v>Barrier</v>
      </c>
      <c r="AN10" s="10" t="s">
        <v>110</v>
      </c>
      <c r="AO10" s="21">
        <v>15</v>
      </c>
      <c r="AP10" s="10" t="s">
        <v>122</v>
      </c>
    </row>
    <row r="11" spans="1:42" x14ac:dyDescent="0.25">
      <c r="A11" s="59">
        <v>44805</v>
      </c>
      <c r="B11" s="58">
        <v>58067</v>
      </c>
      <c r="C11" s="78"/>
      <c r="D11" s="10" t="s">
        <v>134</v>
      </c>
      <c r="E11" s="10">
        <v>9</v>
      </c>
      <c r="F11" s="87">
        <v>609735.82349958899</v>
      </c>
      <c r="G11" s="87">
        <v>6092879.9218358202</v>
      </c>
      <c r="H11" s="78" t="s">
        <v>108</v>
      </c>
      <c r="I11" s="11" t="s">
        <v>129</v>
      </c>
      <c r="J11" s="33"/>
      <c r="K11" s="10" t="s">
        <v>105</v>
      </c>
      <c r="L11" s="10" t="s">
        <v>94</v>
      </c>
      <c r="M11" s="10" t="s">
        <v>103</v>
      </c>
      <c r="N11" s="21">
        <v>2.2000000000000002</v>
      </c>
      <c r="O11" s="21">
        <v>15.8</v>
      </c>
      <c r="P11" s="10" t="s">
        <v>96</v>
      </c>
      <c r="Q11" s="84"/>
      <c r="R11" s="10" t="s">
        <v>96</v>
      </c>
      <c r="S11" s="10" t="s">
        <v>96</v>
      </c>
      <c r="T11" s="84"/>
      <c r="U11" s="21">
        <v>1.8</v>
      </c>
      <c r="V11" s="10">
        <v>0.49</v>
      </c>
      <c r="W11" s="21">
        <v>1.46</v>
      </c>
      <c r="X11" s="10" t="s">
        <v>101</v>
      </c>
      <c r="Y11" s="21">
        <v>0.3</v>
      </c>
      <c r="Z11" s="21">
        <v>6.6</v>
      </c>
      <c r="AA11" s="10">
        <v>4</v>
      </c>
      <c r="AB11" s="10" t="s">
        <v>96</v>
      </c>
      <c r="AC11" s="10" t="s">
        <v>96</v>
      </c>
      <c r="AD11" s="10" t="s">
        <v>97</v>
      </c>
      <c r="AE11" s="10" t="s">
        <v>104</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110</v>
      </c>
      <c r="AO11" s="10">
        <v>15</v>
      </c>
      <c r="AP11" s="10" t="s">
        <v>121</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Kp9B+/bFMfFIWRUI0Pcb3vlszkyKMChgdCff8NsUSrV1G2ALkIEUGVQqy64VftSLE/E9l5aj9NDMCUKAj8My3g==" saltValue="/2S+UbjLXsvIVerWv4ROX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2023-10-19T21:46:05Z</dcterms:modified>
</cp:coreProperties>
</file>