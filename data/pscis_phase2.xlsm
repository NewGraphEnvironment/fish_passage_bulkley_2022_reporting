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16404EAF-5758-B14D-AE16-26C9228BB507}" xr6:coauthVersionLast="47" xr6:coauthVersionMax="47" xr10:uidLastSave="{00000000-0000-0000-0000-000000000000}"/>
  <bookViews>
    <workbookView xWindow="-73540" yWindow="574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L6" i="2" s="1"/>
  <c r="AM6" i="2" s="1"/>
  <c r="AF7" i="2"/>
  <c r="AK7" i="2" s="1"/>
  <c r="AG7" i="2"/>
  <c r="AH7" i="2"/>
  <c r="AI7" i="2"/>
  <c r="AJ7" i="2"/>
  <c r="AF8" i="2"/>
  <c r="AK8" i="2" s="1"/>
  <c r="AG8" i="2"/>
  <c r="AH8" i="2"/>
  <c r="AI8" i="2"/>
  <c r="AL8" i="2" s="1"/>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M8" i="2"/>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<sst xmlns="http://schemas.openxmlformats.org/spreadsheetml/2006/main" count="203" uniqueCount="130">
  <si>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</si>
  <si>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</si>
  <si>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</si>
  <si>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</si>
  <si>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</si>
  <si>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</si>
  <si>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</si>
  <si>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</si>
  <si>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</si>
  <si>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</si>
  <si>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</si>
  <si>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</si>
  <si>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</si>
  <si>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</si>
  <si>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</si>
  <si>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</si>
  <si>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</si>
  <si>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</si>
  <si>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</si>
  <si>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</si>
  <si>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</si>
  <si>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</si>
  <si>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</si>
  <si>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</si>
  <si>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</si>
  <si>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</si>
  <si>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</si>
  <si>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</si>
  <si>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</si>
  <si>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</si>
  <si>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</si>
  <si>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</si>
  <si>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</si>
  <si>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</si>
  <si>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</si>
  <si>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</si>
  <si>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</si>
  <si>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</si>
  <si>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</si>
  <si>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</si>
  <si>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</si>
  <si>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</si>
  <si>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</si>
  <si>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</si>
  <si>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</si>
  <si>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</si>
  <si>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</si>
  <si>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</si>
  <si>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</si>
  <si>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</si>
  <si>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</si>
  <si>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</si>
  <si>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</si>
  <si>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</si>
  <si>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</si>
  <si>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</si>
  <si>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</si>
  <si>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</si>
  <si>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</si>
  <si>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</si>
  <si>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</si>
  <si>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</si>
  <si>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</si>
  <si>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</si>
  <si>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</si>
  <si>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</si>
  <si>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</si>
  <si>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</si>
  <si>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</si>
  <si>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</si>
  <si>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</si>
  <si>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</si>
  <si>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</si>
  <si>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</si>
  <si>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</si>
  <si>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</si>
  <si>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</si>
  <si>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</si>
  <si>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</si>
  <si>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</si>
  <si>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</si>
  <si>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</si>
  <si>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</si>
  <si>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</si>
  <si>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</si>
  <si>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</si>
  <si>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</si>
  <si>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</si>
  <si>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</si>
  <si>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</si>
  <si>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</si>
  <si>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</si>
  <si>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</si>
  <si>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</si>
  <si>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</si>
  <si>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</si>
  <si>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</si>
  <si>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</si>
  <si>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</si>
  <si>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</si>
  <si>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</si>
  <si>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Open Bottom Structure</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</si>
  <si>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</si>
  <si>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</si>
  <si>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</si>
  <si>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</si>
  <si>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</si>
  <si>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</si>
  <si>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</si>
  <si>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</si>
  <si>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</si>
  <si>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</si>
  <si>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</si>
  <si>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TP, VJ</t>
  </si>
  <si>
    <t>Bridge</t>
  </si>
  <si>
    <t>Private property, farm bridge, concrete slabs on both banks upstream of culvert. 12:02</t>
  </si>
  <si>
    <t>MW, DN, TP, AN</t>
  </si>
  <si>
    <t>Valee Creek</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</si>
  <si>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</si>
  <si>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</si>
  <si>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</si>
  <si>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</si>
  <si>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</si>
  <si>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</si>
  <si>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Telkwa high road</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</si>
  <si>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</si>
  <si>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</si>
  <si>
    <t xml:space="preserve">Tributary to Gramaphone Creek </t>
  </si>
  <si>
    <t xml:space="preserve">Stream is not mapped correctly in the freshwater atlas as it actually flows in a north direction through town. Great flow, patches of gravel suitable for cohost Bonnie. Right within the town of New Hazelton. Trap and truck coho operation occurring with spawners transplanted upstream of the railway and 14th avenue. 16:34                  </t>
  </si>
  <si>
    <t>Tributary to Waterfall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</si>
</sst>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G26" sqref="G2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44801</v>
      </c>
      <c r="B5" s="58">
        <v>197974</v>
      </c>
      <c r="D5" s="10" t="s">
        <v>92</v>
      </c>
      <c r="E5" s="11">
        <v>9</v>
      </c>
      <c r="F5" s="39">
        <v>680379</v>
      </c>
      <c r="G5" s="39">
        <v>6040073</v>
      </c>
      <c r="H5" s="11" t="s">
        <v>93</v>
      </c>
      <c r="I5" s="11" t="s">
        <v>94</v>
      </c>
      <c r="J5" s="33"/>
      <c r="K5" s="11" t="s">
        <v>121</v>
      </c>
      <c r="L5" s="10" t="s">
        <v>95</v>
      </c>
      <c r="M5" s="10" t="s">
        <v>96</v>
      </c>
      <c r="N5" s="85">
        <v>0.9</v>
      </c>
      <c r="O5" s="85">
        <v>25.5</v>
      </c>
      <c r="P5" s="10" t="s">
        <v>97</v>
      </c>
      <c r="Q5" s="86"/>
      <c r="R5" s="10" t="s">
        <v>97</v>
      </c>
      <c r="S5" s="10" t="s">
        <v>97</v>
      </c>
      <c r="T5" s="86"/>
      <c r="U5" s="10">
        <v>3</v>
      </c>
      <c r="V5" s="10">
        <v>1</v>
      </c>
      <c r="W5" s="10">
        <v>1.2</v>
      </c>
      <c r="X5" s="10" t="s">
        <v>97</v>
      </c>
      <c r="Y5" s="10">
        <v>3.5</v>
      </c>
      <c r="Z5" s="10"/>
      <c r="AB5" s="10" t="s">
        <v>97</v>
      </c>
      <c r="AC5" s="10" t="s">
        <v>97</v>
      </c>
      <c r="AD5" s="10" t="s">
        <v>98</v>
      </c>
      <c r="AE5" s="10" t="s">
        <v>99</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0</v>
      </c>
      <c r="AL5" s="12">
        <f>AG5 + AH5 + AI5 + AJ5 + AK5</f>
        <v>33</v>
      </c>
      <c r="AM5" s="14" t="str">
        <f>IF(ISBLANK(L5), "", IF(L5 = "Open Bottom Structure", "Passable", IF(L5 = "Other", "Unknown", IF(AL5 &lt; 15, "Passable", IF(AND(AL5 &gt;= 15,AL5 &lt;= 19), "Potential", IF(AL5 &gt; 19, "Barrier", ""))))))</f>
        <v>Barrier</v>
      </c>
      <c r="AO5" s="10"/>
      <c r="AP5" s="78" t="s">
        <v>100</v>
      </c>
    </row>
    <row r="6" spans="1:42" ht="16">
      <c r="A6" s="59">
        <v>44802</v>
      </c>
      <c r="B6" s="58">
        <v>197653</v>
      </c>
      <c r="D6" s="10" t="s">
        <v>102</v>
      </c>
      <c r="E6" s="11">
        <v>9</v>
      </c>
      <c r="F6" s="39">
        <v>665520</v>
      </c>
      <c r="G6" s="39">
        <v>6044200</v>
      </c>
      <c r="H6" s="10" t="s">
        <v>103</v>
      </c>
      <c r="I6" s="11" t="s">
        <v>104</v>
      </c>
      <c r="J6" s="33">
        <v>2</v>
      </c>
      <c r="K6" s="10"/>
      <c r="L6" s="10" t="s">
        <v>95</v>
      </c>
      <c r="M6" s="10" t="s">
        <v>96</v>
      </c>
      <c r="N6" s="85">
        <v>2.2999999999999998</v>
      </c>
      <c r="O6" s="85">
        <v>28</v>
      </c>
      <c r="P6" s="10" t="s">
        <v>97</v>
      </c>
      <c r="Q6" s="86"/>
      <c r="R6" s="10" t="s">
        <v>97</v>
      </c>
      <c r="S6" s="10" t="s">
        <v>97</v>
      </c>
      <c r="T6" s="86"/>
      <c r="U6" s="10">
        <v>0.5</v>
      </c>
      <c r="V6" s="10">
        <v>0.3</v>
      </c>
      <c r="W6" s="10">
        <v>0</v>
      </c>
      <c r="X6" s="10" t="s">
        <v>97</v>
      </c>
      <c r="Y6" s="10">
        <v>1.5</v>
      </c>
      <c r="Z6" s="10"/>
      <c r="AB6" s="10" t="s">
        <v>97</v>
      </c>
      <c r="AC6" s="10" t="s">
        <v>97</v>
      </c>
      <c r="AD6" s="10" t="s">
        <v>98</v>
      </c>
      <c r="AE6" s="10" t="s">
        <v>105</v>
      </c>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0</v>
      </c>
      <c r="AL6" s="12">
        <f t="shared" ref="AL6:AL11" si="6">AG6 + AH6 + AI6 + AJ6 + AK6</f>
        <v>28</v>
      </c>
      <c r="AM6" s="14" t="str">
        <f t="shared" ref="AM6:AM67" si="7">IF(ISBLANK(L6), "", IF(L6 = "Open Bottom Structure", "Passable", IF(L6 = "Other", "Unknown", IF(AL6 &lt; 15, "Passable", IF(AND(AL6 &gt;= 15,AL6 &lt;= 19), "Potential", IF(AL6 &gt; 19, "Barrier", ""))))))</f>
        <v>Barrier</v>
      </c>
      <c r="AO6" s="10"/>
      <c r="AP6" s="78" t="s">
        <v>106</v>
      </c>
    </row>
    <row r="7" spans="1:42" ht="16">
      <c r="A7" s="59">
        <v>44803</v>
      </c>
      <c r="B7" s="58">
        <v>195943</v>
      </c>
      <c r="D7" s="10" t="s">
        <v>108</v>
      </c>
      <c r="E7" s="11">
        <v>9</v>
      </c>
      <c r="F7" s="39">
        <v>645434</v>
      </c>
      <c r="G7" s="39">
        <v>6035035</v>
      </c>
      <c r="H7" s="10" t="s">
        <v>109</v>
      </c>
      <c r="I7" s="11" t="s">
        <v>110</v>
      </c>
      <c r="J7" s="33"/>
      <c r="K7" s="10"/>
      <c r="L7" s="10" t="s">
        <v>95</v>
      </c>
      <c r="M7" s="10" t="s">
        <v>111</v>
      </c>
      <c r="N7" s="21">
        <v>2</v>
      </c>
      <c r="O7" s="21">
        <v>14.5</v>
      </c>
      <c r="P7" s="10" t="s">
        <v>97</v>
      </c>
      <c r="Q7" s="86"/>
      <c r="R7" s="10" t="s">
        <v>97</v>
      </c>
      <c r="S7" s="10" t="s">
        <v>97</v>
      </c>
      <c r="T7" s="86"/>
      <c r="U7" s="10">
        <v>0.6</v>
      </c>
      <c r="V7" s="10">
        <v>1.1000000000000001</v>
      </c>
      <c r="W7" s="10">
        <v>0.71</v>
      </c>
      <c r="X7" s="10" t="s">
        <v>97</v>
      </c>
      <c r="Y7" s="10">
        <v>1.5</v>
      </c>
      <c r="Z7" s="10">
        <v>3</v>
      </c>
      <c r="AA7" s="10">
        <v>3</v>
      </c>
      <c r="AB7" s="10" t="s">
        <v>97</v>
      </c>
      <c r="AC7" s="10" t="s">
        <v>107</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O7" s="10"/>
      <c r="AP7" s="10" t="s">
        <v>112</v>
      </c>
    </row>
    <row r="8" spans="1:42">
      <c r="A8" s="59">
        <v>44803</v>
      </c>
      <c r="B8" s="82">
        <v>198110</v>
      </c>
      <c r="D8" s="10" t="s">
        <v>113</v>
      </c>
      <c r="E8" s="11">
        <v>9</v>
      </c>
      <c r="F8" s="39">
        <v>645355</v>
      </c>
      <c r="G8" s="39">
        <v>6034873</v>
      </c>
      <c r="H8" s="10" t="s">
        <v>109</v>
      </c>
      <c r="J8" s="79"/>
      <c r="K8" s="81"/>
      <c r="L8" s="10" t="s">
        <v>101</v>
      </c>
      <c r="M8" s="10" t="s">
        <v>114</v>
      </c>
      <c r="N8" s="21">
        <v>6.1</v>
      </c>
      <c r="O8" s="21">
        <v>4.4000000000000004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115</v>
      </c>
    </row>
    <row r="9" spans="1:42" ht="16">
      <c r="A9" s="59">
        <v>44804</v>
      </c>
      <c r="B9" s="58">
        <v>57793</v>
      </c>
      <c r="D9" s="10" t="s">
        <v>116</v>
      </c>
      <c r="E9" s="11">
        <v>9</v>
      </c>
      <c r="F9" s="39">
        <v>641460</v>
      </c>
      <c r="G9" s="39">
        <v>6044049</v>
      </c>
      <c r="H9" s="78" t="s">
        <v>117</v>
      </c>
      <c r="I9" s="11" t="s">
        <v>118</v>
      </c>
      <c r="J9" s="33"/>
      <c r="K9" s="10" t="s">
        <v>121</v>
      </c>
      <c r="L9" s="10" t="s">
        <v>95</v>
      </c>
      <c r="M9" s="10" t="s">
        <v>96</v>
      </c>
      <c r="N9" s="21">
        <v>3</v>
      </c>
      <c r="O9" s="21">
        <v>20</v>
      </c>
      <c r="P9" s="10" t="s">
        <v>97</v>
      </c>
      <c r="Q9" s="86"/>
      <c r="R9" s="10" t="s">
        <v>97</v>
      </c>
      <c r="S9" s="10" t="s">
        <v>97</v>
      </c>
      <c r="T9" s="86"/>
      <c r="U9" s="10">
        <v>1</v>
      </c>
      <c r="V9" s="10">
        <v>0.1</v>
      </c>
      <c r="W9" s="10">
        <v>0.5</v>
      </c>
      <c r="X9" s="10" t="s">
        <v>97</v>
      </c>
      <c r="Y9" s="10">
        <v>2</v>
      </c>
      <c r="Z9" s="10">
        <v>4.7</v>
      </c>
      <c r="AA9" s="10">
        <v>3</v>
      </c>
      <c r="AB9" s="10" t="s">
        <v>97</v>
      </c>
      <c r="AC9" s="10" t="s">
        <v>107</v>
      </c>
      <c r="AD9" s="10" t="s">
        <v>98</v>
      </c>
      <c r="AE9" s="10" t="s">
        <v>119</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O9" s="10"/>
      <c r="AP9" s="10" t="s">
        <v>120</v>
      </c>
    </row>
    <row r="10" spans="1:42" ht="16">
      <c r="A10" s="59">
        <v>44814</v>
      </c>
      <c r="B10" s="58">
        <v>198116</v>
      </c>
      <c r="D10" s="10" t="s">
        <v>123</v>
      </c>
      <c r="E10" s="11">
        <v>9</v>
      </c>
      <c r="F10" s="39">
        <v>590233.23</v>
      </c>
      <c r="G10" s="39">
        <v>6123183.2699999996</v>
      </c>
      <c r="H10" s="78" t="s">
        <v>129</v>
      </c>
      <c r="I10" s="11" t="s">
        <v>94</v>
      </c>
      <c r="J10" s="33"/>
      <c r="K10" s="10" t="s">
        <v>121</v>
      </c>
      <c r="L10" s="10" t="s">
        <v>95</v>
      </c>
      <c r="M10" s="10" t="s">
        <v>96</v>
      </c>
      <c r="N10" s="21">
        <v>1.5</v>
      </c>
      <c r="O10" s="21">
        <v>27</v>
      </c>
      <c r="P10" s="10" t="s">
        <v>97</v>
      </c>
      <c r="Q10" s="87"/>
      <c r="R10" s="10" t="s">
        <v>97</v>
      </c>
      <c r="S10" s="10" t="s">
        <v>97</v>
      </c>
      <c r="T10" s="87"/>
      <c r="U10" s="21">
        <v>1</v>
      </c>
      <c r="V10" s="10">
        <v>0</v>
      </c>
      <c r="W10" s="21">
        <v>0.2</v>
      </c>
      <c r="X10" s="10" t="s">
        <v>107</v>
      </c>
      <c r="Z10" s="21">
        <v>3.9</v>
      </c>
      <c r="AA10" s="10">
        <v>2.5</v>
      </c>
      <c r="AB10" s="10" t="s">
        <v>97</v>
      </c>
      <c r="AC10" s="10" t="s">
        <v>107</v>
      </c>
      <c r="AE10" s="10" t="s">
        <v>119</v>
      </c>
      <c r="AF10" s="20">
        <f t="shared" si="0"/>
        <v>2.6</v>
      </c>
      <c r="AG10" s="13">
        <f t="shared" si="1"/>
        <v>3</v>
      </c>
      <c r="AH10" s="7">
        <f t="shared" si="2"/>
        <v>10</v>
      </c>
      <c r="AI10" s="7">
        <f t="shared" si="3"/>
        <v>0</v>
      </c>
      <c r="AJ10" s="7">
        <f t="shared" si="4"/>
        <v>0</v>
      </c>
      <c r="AK10" s="7">
        <f t="shared" si="5"/>
        <v>6</v>
      </c>
      <c r="AL10" s="12">
        <f t="shared" si="6"/>
        <v>19</v>
      </c>
      <c r="AM10" s="14" t="str">
        <f t="shared" si="7"/>
        <v>Potential</v>
      </c>
      <c r="AN10" s="88"/>
      <c r="AO10" s="89"/>
      <c r="AP10" s="10" t="s">
        <v>128</v>
      </c>
    </row>
    <row r="11" spans="1:42" ht="16">
      <c r="A11" s="59">
        <v>44803</v>
      </c>
      <c r="B11" s="58">
        <v>195944</v>
      </c>
      <c r="C11" s="78"/>
      <c r="D11" s="10" t="s">
        <v>108</v>
      </c>
      <c r="E11" s="10">
        <v>9</v>
      </c>
      <c r="F11" s="80">
        <v>646015.19120994303</v>
      </c>
      <c r="G11" s="80">
        <v>6035569.6458600396</v>
      </c>
      <c r="H11" s="78" t="s">
        <v>109</v>
      </c>
      <c r="I11" s="11" t="s">
        <v>94</v>
      </c>
      <c r="J11" s="33"/>
      <c r="K11" s="10" t="s">
        <v>121</v>
      </c>
      <c r="L11" s="10" t="s">
        <v>95</v>
      </c>
      <c r="M11" s="10" t="s">
        <v>96</v>
      </c>
      <c r="N11" s="21">
        <v>1.8</v>
      </c>
      <c r="O11" s="21">
        <v>99</v>
      </c>
      <c r="P11" s="10" t="s">
        <v>97</v>
      </c>
      <c r="Q11" s="87"/>
      <c r="R11" s="10" t="s">
        <v>97</v>
      </c>
      <c r="S11" s="10" t="s">
        <v>97</v>
      </c>
      <c r="T11" s="87"/>
      <c r="U11" s="21">
        <v>9.99</v>
      </c>
      <c r="V11" s="10">
        <v>1.5</v>
      </c>
      <c r="W11" s="21">
        <v>0.25</v>
      </c>
      <c r="X11" s="10" t="s">
        <v>97</v>
      </c>
      <c r="Y11" s="21">
        <v>3.5</v>
      </c>
      <c r="Z11" s="21">
        <v>2.6</v>
      </c>
      <c r="AA11" s="10">
        <v>2</v>
      </c>
      <c r="AB11" s="10" t="s">
        <v>97</v>
      </c>
      <c r="AC11" s="10" t="s">
        <v>107</v>
      </c>
      <c r="AD11" s="10" t="s">
        <v>98</v>
      </c>
      <c r="AE11" s="10" t="s">
        <v>99</v>
      </c>
      <c r="AF11" s="20">
        <f t="shared" si="0"/>
        <v>1.4444444444444444</v>
      </c>
      <c r="AG11" s="13">
        <f t="shared" si="1"/>
        <v>6</v>
      </c>
      <c r="AH11" s="7">
        <f t="shared" si="2"/>
        <v>10</v>
      </c>
      <c r="AI11" s="7">
        <f t="shared" si="3"/>
        <v>10</v>
      </c>
      <c r="AJ11" s="7">
        <f>IF(Y11&lt;1,0,IF(AND(Y11&gt;=1,Y11&lt;3),5,IF(Y11&gt;=3,10,0)))</f>
        <v>10</v>
      </c>
      <c r="AK11" s="7">
        <f t="shared" si="5"/>
        <v>6</v>
      </c>
      <c r="AL11" s="12">
        <f t="shared" si="6"/>
        <v>42</v>
      </c>
      <c r="AM11" s="14" t="str">
        <f t="shared" si="7"/>
        <v>Barrier</v>
      </c>
      <c r="AO11" s="10"/>
      <c r="AP11" s="10" t="s">
        <v>122</v>
      </c>
    </row>
    <row r="12" spans="1:42" ht="32">
      <c r="A12" s="59">
        <v>44805</v>
      </c>
      <c r="B12" s="58">
        <v>58067</v>
      </c>
      <c r="D12" s="10" t="s">
        <v>125</v>
      </c>
      <c r="E12" s="11">
        <v>9</v>
      </c>
      <c r="F12" s="39">
        <v>609735.82349958899</v>
      </c>
      <c r="G12" s="39">
        <v>6092879.9218358202</v>
      </c>
      <c r="H12" s="11" t="s">
        <v>127</v>
      </c>
      <c r="I12" s="11" t="s">
        <v>124</v>
      </c>
      <c r="J12" s="33"/>
      <c r="K12" s="11" t="s">
        <v>121</v>
      </c>
      <c r="L12" s="10" t="s">
        <v>95</v>
      </c>
      <c r="M12" s="10" t="s">
        <v>111</v>
      </c>
      <c r="N12" s="21">
        <v>2.2000000000000002</v>
      </c>
      <c r="O12" s="21">
        <v>15.8</v>
      </c>
      <c r="P12" s="10" t="s">
        <v>97</v>
      </c>
      <c r="Q12" s="86"/>
      <c r="R12" s="10" t="s">
        <v>97</v>
      </c>
      <c r="S12" s="10" t="s">
        <v>97</v>
      </c>
      <c r="T12" s="87"/>
      <c r="U12" s="21">
        <v>1.8</v>
      </c>
      <c r="V12" s="10">
        <v>0.49</v>
      </c>
      <c r="W12" s="21">
        <v>1.46</v>
      </c>
      <c r="X12" s="10" t="s">
        <v>107</v>
      </c>
      <c r="Y12" s="21">
        <v>0.3</v>
      </c>
      <c r="Z12" s="21">
        <v>6.6</v>
      </c>
      <c r="AA12" s="10">
        <v>4</v>
      </c>
      <c r="AB12" s="10" t="s">
        <v>97</v>
      </c>
      <c r="AC12" s="10" t="s">
        <v>97</v>
      </c>
      <c r="AD12" s="10" t="s">
        <v>98</v>
      </c>
      <c r="AE12" s="10" t="s">
        <v>119</v>
      </c>
      <c r="AF12" s="20">
        <f t="shared" ref="AF12:AF72" si="8">IF(ISBLANK(Z12), 0, IF(ISBLANK(N12) &lt; 0, 0,Z12 / N12))</f>
        <v>2.9999999999999996</v>
      </c>
      <c r="AG12" s="13">
        <f t="shared" si="1"/>
        <v>3</v>
      </c>
      <c r="AH12" s="7">
        <f t="shared" si="2"/>
        <v>10</v>
      </c>
      <c r="AI12" s="7">
        <f t="shared" si="3"/>
        <v>10</v>
      </c>
      <c r="AJ12" s="7">
        <f t="shared" si="4"/>
        <v>0</v>
      </c>
      <c r="AK12" s="7">
        <f t="shared" si="5"/>
        <v>6</v>
      </c>
      <c r="AL12" s="12">
        <f t="shared" ref="AL12:AL70" si="9">AG12 + AH12 + AI12 + AJ12 + AK12</f>
        <v>29</v>
      </c>
      <c r="AM12" s="14" t="str">
        <f t="shared" si="7"/>
        <v>Barrier</v>
      </c>
      <c r="AP12" s="10" t="s">
        <v>126</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o4P5bSKCLCwSaKpK+gmAkIXyaKa+FYj3FymQsA2VjDUETwQD+v9ehsqpxSNldJ+uF7SjnuOdhLS3NwdfHoBzw==" saltValue="YjHfzs2VbIcHodb44k12y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7 N9: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list" allowBlank="1" showInputMessage="1" showErrorMessage="1" errorTitle="Invalid value entered" error="The crossing subtype is not compatible with a crossing type of Open Bottom Structure" sqref="M8" xr:uid="{3FBF8499-84A6-4336-B9F2-AB21D83F8E80}">
      <formula1>"Bridge, Pipe Arch, Wood Box Culvert"</formula1>
    </dataValidation>
    <dataValidation type="decimal" allowBlank="1" showInputMessage="1" showErrorMessage="1" errorTitle="Invalid Diamter or Span" error="The Diameter or Span entered is invalid. Diameter or Span must be &gt; 0 and &lt; 100" sqref="N8" xr:uid="{8D97673C-4E41-4098-B13F-ECFD851CB94C}">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8" xr:uid="{1D8DC6EE-83E4-4A3F-A609-1C9FDB96F6A0}">
      <formula1>0.01</formula1>
      <formula2>6.09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1.79 and &gt;= 0.01" sqref="Q11" xr:uid="{E8208B2C-0E08-4B45-B770-61A36AC7C225}">
      <formula1>0.01</formula1>
      <formula2>1.79</formula2>
    </dataValidation>
    <dataValidation type="decimal" allowBlank="1" showInputMessage="1" showErrorMessage="1" errorTitle="Invalid value entered" error="The Average Depth Embededdment you entered is invalid. The Average Depth Embededdment must be &lt;= 2.19 and &gt;= 0.01" sqref="Q12: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2023-01-06T00:28:26Z</dcterms:modified>
</cp:coreProperties>
</file>