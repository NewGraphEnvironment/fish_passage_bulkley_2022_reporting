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36145E23-B388-4333-AD95-000EE5223506}"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8" i="2"/>
  <c r="AM8" i="2" s="1"/>
  <c r="AL13" i="2"/>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<sst xmlns="http://schemas.openxmlformats.org/spreadsheetml/2006/main" count="206" uniqueCount="128">
  <si>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</si>
  <si>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</si>
  <si>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</si>
  <si>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</si>
  <si>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</si>
  <si>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</si>
  <si>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</si>
  <si>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</si>
  <si>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</si>
  <si>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</si>
  <si>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</si>
  <si>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</si>
  <si>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</si>
  <si>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</si>
  <si>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</si>
  <si>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</si>
  <si>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</si>
  <si>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</si>
  <si>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</si>
  <si>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</si>
  <si>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</si>
  <si>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</si>
  <si>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</si>
  <si>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</si>
  <si>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</si>
  <si>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</si>
  <si>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</si>
  <si>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</si>
  <si>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</si>
  <si>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</si>
  <si>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</si>
  <si>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</si>
  <si>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</si>
  <si>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</si>
  <si>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</si>
  <si>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</si>
  <si>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</si>
  <si>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</si>
  <si>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</si>
  <si>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</si>
  <si>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</si>
  <si>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</si>
  <si>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</si>
  <si>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</si>
  <si>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</si>
  <si>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</si>
  <si>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</si>
  <si>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</si>
  <si>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</si>
  <si>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</si>
  <si>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</si>
  <si>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</si>
  <si>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</si>
  <si>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</si>
  <si>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</si>
  <si>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</si>
  <si>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</si>
  <si>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</si>
  <si>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</si>
  <si>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</si>
  <si>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</si>
  <si>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</si>
  <si>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</si>
  <si>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</si>
  <si>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</si>
  <si>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</si>
  <si>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</si>
  <si>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</si>
  <si>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</si>
  <si>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</si>
  <si>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</si>
  <si>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</si>
  <si>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</si>
  <si>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</si>
  <si>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</si>
  <si>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</si>
  <si>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</si>
  <si>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</si>
  <si>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</si>
  <si>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</si>
  <si>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</si>
  <si>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</si>
  <si>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</si>
  <si>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</si>
  <si>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</si>
  <si>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</si>
  <si>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</si>
  <si>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</si>
  <si>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</si>
  <si>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</si>
  <si>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</si>
  <si>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</si>
  <si>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</si>
  <si>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</si>
  <si>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</si>
  <si>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</si>
  <si>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</si>
  <si>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</si>
  <si>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</si>
  <si>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</si>
  <si>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Deep and large outlet pool indicate culvert is significantly undersized. Condition of the pipe is poor with corrosion and some collapsing in the middle of the pipe. 0.6m diameter overflow pipe located adjacent to the main culvert. Some decent gravels downstream. 15:52</t>
  </si>
  <si>
    <t>MW, TP</t>
  </si>
  <si>
    <t>Perow Creek</t>
  </si>
  <si>
    <t>Perow Loop Road</t>
  </si>
  <si>
    <t>Low</t>
  </si>
  <si>
    <t>Yes</t>
  </si>
  <si>
    <t>MW, TP, AI, VJ, AN, DN</t>
  </si>
  <si>
    <t>Stock Creek</t>
  </si>
  <si>
    <t>Barrett Station Road</t>
  </si>
  <si>
    <t>Oval Culvert</t>
  </si>
  <si>
    <t>Very large outlet drop, but creates nice pool for fish. Erosion on LB/RB on outlet side. Agricultural fields, minimal municipality population ds. Road is paved, detour available. 10:25</t>
  </si>
  <si>
    <t>MW, DN, TP, AN</t>
  </si>
  <si>
    <t>Walcott Road</t>
  </si>
  <si>
    <t>High</t>
  </si>
  <si>
    <t>Slight outlet drop, low water levels would be a fish passage issue. Little amount of water running through culvert. Deep pool at outlet of culvert, good for fish. Boulders in culvert, which are obstacles to fish. 9:34</t>
  </si>
  <si>
    <t>MoTi</t>
  </si>
  <si>
    <t xml:space="preserve"> Length 167 m. Fill depth estimated at approximately 35 m. 14:35</t>
  </si>
  <si>
    <t>AI</t>
  </si>
  <si>
    <t>Telkwa high road</t>
  </si>
  <si>
    <t>AI, CM, JO</t>
  </si>
  <si>
    <t>Tributary to Waterfall Creek</t>
  </si>
  <si>
    <t xml:space="preserve">Gramophone Creek </t>
  </si>
  <si>
    <t>Vallee Creek</t>
  </si>
  <si>
    <t>Replace with New Open Bottom Structure</t>
  </si>
  <si>
    <t>Replace Structure with Streambed Simulation CBS</t>
  </si>
  <si>
    <t xml:space="preserve">Stream is not mapped correctly in the freshwater atlas as it actually flows in a north direction through town. Great flow, patches of gravel suitable for coho spawning. Located right within the town of New Hazelton. Trap and truck coho operation occurring with spawners transplanted upstream of the railway and 14th avenue. 16:34                  </t>
  </si>
  <si>
    <t>Gradient of culvert shot with laser level. Inside of pipe is bent downward at the outlet. Upstream side of the road is eroding. Enormous outlet pool indicates culvert is undersized. Water flowing under overflow. Just outside of Witset community. Seems like a really good candidate for replacement. 10:26</t>
  </si>
  <si>
    <t>Stream is dry. Private yards u/s and d/s. Riprap and cement in channel. 10:48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</si>
</sst>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1" fontId="1" fillId="0" borderId="0" xfId="3" applyNumberFormat="1" applyProtection="1">
      <protection locked="0"/>
    </xf>
    <xf numFmtId="0" fontId="1" fillId="0" borderId="0" xfId="3" applyProtection="1">
      <protection locked="0"/>
    </xf>
    <xf numFmtId="2" fontId="5" fillId="0" borderId="0" xfId="2" applyNumberFormat="1" applyProtection="1">
      <protection locked="0"/>
    </xf>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8"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0"/>
    </row>
    <row r="8" spans="1:20" x14ac:dyDescent="0.25">
      <c r="A8" s="4" t="s">
        <v>73</v>
      </c>
    </row>
    <row r="9" spans="1:20" x14ac:dyDescent="0.25">
      <c r="A9" s="4" t="s">
        <v>74</v>
      </c>
    </row>
    <row r="10" spans="1:20" x14ac:dyDescent="0.25">
      <c r="A10" s="4" t="s">
        <v>75</v>
      </c>
      <c r="B10" s="81"/>
    </row>
    <row r="11" spans="1:20" x14ac:dyDescent="0.25">
      <c r="A11" s="4"/>
      <c r="B11" s="10"/>
    </row>
    <row r="12" spans="1:20" x14ac:dyDescent="0.25">
      <c r="A12" s="4" t="s">
        <v>36</v>
      </c>
      <c r="B12" s="80"/>
    </row>
    <row r="13" spans="1:20" x14ac:dyDescent="0.25">
      <c r="A13" s="4" t="s">
        <v>37</v>
      </c>
    </row>
    <row r="14" spans="1:20" x14ac:dyDescent="0.25">
      <c r="A14" s="4" t="s">
        <v>38</v>
      </c>
    </row>
    <row r="15" spans="1:20" x14ac:dyDescent="0.25">
      <c r="A15" s="4" t="s">
        <v>39</v>
      </c>
      <c r="B15" s="81"/>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P6" sqref="AP6"/>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44801</v>
      </c>
      <c r="B5" s="58">
        <v>197974</v>
      </c>
      <c r="D5" s="10" t="s">
        <v>92</v>
      </c>
      <c r="E5" s="11">
        <v>9</v>
      </c>
      <c r="F5" s="39">
        <v>680379</v>
      </c>
      <c r="G5" s="39">
        <v>6040073</v>
      </c>
      <c r="H5" s="11" t="s">
        <v>93</v>
      </c>
      <c r="I5" s="11" t="s">
        <v>94</v>
      </c>
      <c r="J5" s="33"/>
      <c r="K5" s="11" t="s">
        <v>115</v>
      </c>
      <c r="L5" s="10" t="s">
        <v>95</v>
      </c>
      <c r="M5" s="10" t="s">
        <v>96</v>
      </c>
      <c r="N5" s="82">
        <v>0.9</v>
      </c>
      <c r="O5" s="82">
        <v>25.5</v>
      </c>
      <c r="P5" s="10" t="s">
        <v>97</v>
      </c>
      <c r="Q5" s="83"/>
      <c r="R5" s="10" t="s">
        <v>97</v>
      </c>
      <c r="S5" s="10" t="s">
        <v>97</v>
      </c>
      <c r="T5" s="83"/>
      <c r="U5" s="10">
        <v>3</v>
      </c>
      <c r="V5" s="10">
        <v>1</v>
      </c>
      <c r="W5" s="10">
        <v>1.2</v>
      </c>
      <c r="X5" s="10" t="s">
        <v>97</v>
      </c>
      <c r="Y5" s="10">
        <v>3.5</v>
      </c>
      <c r="Z5" s="10">
        <v>3.4</v>
      </c>
      <c r="AA5" s="10">
        <v>2</v>
      </c>
      <c r="AB5" s="10" t="s">
        <v>97</v>
      </c>
      <c r="AC5" s="10" t="s">
        <v>97</v>
      </c>
      <c r="AD5" s="10" t="s">
        <v>98</v>
      </c>
      <c r="AE5" s="10" t="s">
        <v>99</v>
      </c>
      <c r="AF5" s="20">
        <f>IF(ISBLANK(Z5), 0, IF(ISBLANK(N5) &lt; 0, 0,Z5 / N5))</f>
        <v>3.7777777777777777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124</v>
      </c>
      <c r="AO5" s="10">
        <v>3</v>
      </c>
      <c r="AP5" s="78" t="s">
        <v>100</v>
      </c>
    </row>
    <row r="6" spans="1:42" x14ac:dyDescent="0.25">
      <c r="A6" s="59">
        <v>44802</v>
      </c>
      <c r="B6" s="58">
        <v>197653</v>
      </c>
      <c r="D6" s="10" t="s">
        <v>101</v>
      </c>
      <c r="E6" s="11">
        <v>9</v>
      </c>
      <c r="F6" s="39">
        <v>665520</v>
      </c>
      <c r="G6" s="39">
        <v>6044200</v>
      </c>
      <c r="H6" s="10" t="s">
        <v>102</v>
      </c>
      <c r="I6" s="11" t="s">
        <v>103</v>
      </c>
      <c r="J6" s="33"/>
      <c r="K6" s="10" t="s">
        <v>115</v>
      </c>
      <c r="L6" s="10" t="s">
        <v>95</v>
      </c>
      <c r="M6" s="10" t="s">
        <v>96</v>
      </c>
      <c r="N6" s="82">
        <v>2.2999999999999998</v>
      </c>
      <c r="O6" s="82">
        <v>28</v>
      </c>
      <c r="P6" s="10" t="s">
        <v>97</v>
      </c>
      <c r="Q6" s="83"/>
      <c r="R6" s="10" t="s">
        <v>97</v>
      </c>
      <c r="S6" s="10" t="s">
        <v>97</v>
      </c>
      <c r="T6" s="83"/>
      <c r="U6" s="10">
        <v>0.5</v>
      </c>
      <c r="V6" s="10">
        <v>0.3</v>
      </c>
      <c r="W6" s="10">
        <v>0</v>
      </c>
      <c r="X6" s="10" t="s">
        <v>97</v>
      </c>
      <c r="Y6" s="10">
        <v>1.5</v>
      </c>
      <c r="Z6" s="10">
        <v>4.3</v>
      </c>
      <c r="AA6" s="10">
        <v>4</v>
      </c>
      <c r="AB6" s="10" t="s">
        <v>97</v>
      </c>
      <c r="AC6" s="10" t="s">
        <v>97</v>
      </c>
      <c r="AD6" s="10" t="s">
        <v>98</v>
      </c>
      <c r="AE6" s="10" t="s">
        <v>104</v>
      </c>
      <c r="AF6" s="20">
        <f t="shared" ref="AF6:AF11" si="0">IF(ISBLANK(Z6), 0, IF(ISBLANK(N6) &lt; 0, 0,Z6 / N6))</f>
        <v>1.8695652173913044</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88" t="s">
        <v>124</v>
      </c>
      <c r="AO6" s="88">
        <v>3</v>
      </c>
      <c r="AP6" s="78" t="s">
        <v>127</v>
      </c>
    </row>
    <row r="7" spans="1:42" x14ac:dyDescent="0.25">
      <c r="A7" s="59">
        <v>44803</v>
      </c>
      <c r="B7" s="58">
        <v>195943</v>
      </c>
      <c r="D7" s="10" t="s">
        <v>106</v>
      </c>
      <c r="E7" s="11">
        <v>9</v>
      </c>
      <c r="F7" s="39">
        <v>645434</v>
      </c>
      <c r="G7" s="39">
        <v>6035035</v>
      </c>
      <c r="H7" s="10" t="s">
        <v>107</v>
      </c>
      <c r="I7" s="11" t="s">
        <v>108</v>
      </c>
      <c r="J7" s="33"/>
      <c r="K7" s="10" t="s">
        <v>115</v>
      </c>
      <c r="L7" s="10" t="s">
        <v>95</v>
      </c>
      <c r="M7" s="10" t="s">
        <v>109</v>
      </c>
      <c r="N7" s="21">
        <v>2</v>
      </c>
      <c r="O7" s="21">
        <v>14.5</v>
      </c>
      <c r="P7" s="10" t="s">
        <v>97</v>
      </c>
      <c r="Q7" s="83"/>
      <c r="R7" s="10" t="s">
        <v>97</v>
      </c>
      <c r="S7" s="10" t="s">
        <v>97</v>
      </c>
      <c r="T7" s="83"/>
      <c r="U7" s="10">
        <v>0.6</v>
      </c>
      <c r="V7" s="10">
        <v>1.1000000000000001</v>
      </c>
      <c r="W7" s="10">
        <v>0.71</v>
      </c>
      <c r="X7" s="10" t="s">
        <v>97</v>
      </c>
      <c r="Y7" s="10">
        <v>1.5</v>
      </c>
      <c r="Z7" s="10">
        <v>3</v>
      </c>
      <c r="AA7" s="10">
        <v>3</v>
      </c>
      <c r="AB7" s="10" t="s">
        <v>97</v>
      </c>
      <c r="AC7" s="10" t="s">
        <v>105</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N7" s="10" t="s">
        <v>123</v>
      </c>
      <c r="AO7" s="10">
        <v>10</v>
      </c>
      <c r="AP7" s="10" t="s">
        <v>110</v>
      </c>
    </row>
    <row r="8" spans="1:42" x14ac:dyDescent="0.25">
      <c r="A8" s="59">
        <v>44803</v>
      </c>
      <c r="B8" s="85">
        <v>195944</v>
      </c>
      <c r="D8" s="10" t="s">
        <v>106</v>
      </c>
      <c r="E8" s="11">
        <v>9</v>
      </c>
      <c r="F8" s="39">
        <v>646015.19120994303</v>
      </c>
      <c r="G8" s="39">
        <v>6035569.6458600396</v>
      </c>
      <c r="H8" s="10" t="s">
        <v>107</v>
      </c>
      <c r="I8" s="11" t="s">
        <v>94</v>
      </c>
      <c r="J8" s="79"/>
      <c r="K8" s="86" t="s">
        <v>115</v>
      </c>
      <c r="L8" s="10" t="s">
        <v>95</v>
      </c>
      <c r="M8" s="10" t="s">
        <v>96</v>
      </c>
      <c r="N8" s="21">
        <v>1.8</v>
      </c>
      <c r="O8" s="21">
        <v>99</v>
      </c>
      <c r="P8" s="10" t="s">
        <v>97</v>
      </c>
      <c r="Q8" s="83"/>
      <c r="R8" s="10" t="s">
        <v>97</v>
      </c>
      <c r="S8" s="10" t="s">
        <v>97</v>
      </c>
      <c r="T8" s="83"/>
      <c r="U8" s="10">
        <v>9.99</v>
      </c>
      <c r="V8" s="10">
        <v>1.5</v>
      </c>
      <c r="W8" s="10">
        <v>0.25</v>
      </c>
      <c r="X8" s="10" t="s">
        <v>97</v>
      </c>
      <c r="Y8" s="10">
        <v>3.5</v>
      </c>
      <c r="Z8" s="10">
        <v>2.6</v>
      </c>
      <c r="AA8" s="10">
        <v>2</v>
      </c>
      <c r="AB8" s="10" t="s">
        <v>97</v>
      </c>
      <c r="AC8" s="10" t="s">
        <v>105</v>
      </c>
      <c r="AD8" s="10" t="s">
        <v>98</v>
      </c>
      <c r="AE8" s="10" t="s">
        <v>99</v>
      </c>
      <c r="AF8" s="20">
        <f t="shared" si="0"/>
        <v>1.4444444444444444</v>
      </c>
      <c r="AG8" s="13">
        <f t="shared" si="1"/>
        <v>6</v>
      </c>
      <c r="AH8" s="7">
        <f t="shared" si="2"/>
        <v>10</v>
      </c>
      <c r="AI8" s="7">
        <f t="shared" si="3"/>
        <v>10</v>
      </c>
      <c r="AJ8" s="7">
        <f t="shared" si="4"/>
        <v>10</v>
      </c>
      <c r="AK8" s="7">
        <f t="shared" si="5"/>
        <v>6</v>
      </c>
      <c r="AL8" s="12">
        <f t="shared" si="6"/>
        <v>42</v>
      </c>
      <c r="AM8" s="14" t="str">
        <f t="shared" si="7"/>
        <v>Barrier</v>
      </c>
      <c r="AN8" s="10" t="s">
        <v>124</v>
      </c>
      <c r="AO8" s="10">
        <v>4.5</v>
      </c>
      <c r="AP8" s="10" t="s">
        <v>116</v>
      </c>
    </row>
    <row r="9" spans="1:42" x14ac:dyDescent="0.25">
      <c r="A9" s="59">
        <v>44804</v>
      </c>
      <c r="B9" s="58">
        <v>57793</v>
      </c>
      <c r="D9" s="10" t="s">
        <v>111</v>
      </c>
      <c r="E9" s="11">
        <v>9</v>
      </c>
      <c r="F9" s="39">
        <v>641460</v>
      </c>
      <c r="G9" s="39">
        <v>6044049</v>
      </c>
      <c r="H9" s="78" t="s">
        <v>122</v>
      </c>
      <c r="I9" s="11" t="s">
        <v>112</v>
      </c>
      <c r="J9" s="33"/>
      <c r="K9" s="10" t="s">
        <v>115</v>
      </c>
      <c r="L9" s="10" t="s">
        <v>95</v>
      </c>
      <c r="M9" s="10" t="s">
        <v>96</v>
      </c>
      <c r="N9" s="21">
        <v>3</v>
      </c>
      <c r="O9" s="21">
        <v>20</v>
      </c>
      <c r="P9" s="10" t="s">
        <v>97</v>
      </c>
      <c r="Q9" s="83"/>
      <c r="R9" s="10" t="s">
        <v>97</v>
      </c>
      <c r="S9" s="10" t="s">
        <v>97</v>
      </c>
      <c r="T9" s="83"/>
      <c r="U9" s="10">
        <v>1</v>
      </c>
      <c r="V9" s="10">
        <v>0.1</v>
      </c>
      <c r="W9" s="10">
        <v>0.5</v>
      </c>
      <c r="X9" s="10" t="s">
        <v>97</v>
      </c>
      <c r="Y9" s="10">
        <v>2</v>
      </c>
      <c r="Z9" s="10">
        <v>4.7</v>
      </c>
      <c r="AA9" s="10">
        <v>3</v>
      </c>
      <c r="AB9" s="10" t="s">
        <v>97</v>
      </c>
      <c r="AC9" s="10" t="s">
        <v>105</v>
      </c>
      <c r="AD9" s="10" t="s">
        <v>98</v>
      </c>
      <c r="AE9" s="10" t="s">
        <v>113</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N9" s="10" t="s">
        <v>123</v>
      </c>
      <c r="AO9" s="10">
        <v>10</v>
      </c>
      <c r="AP9" s="10" t="s">
        <v>114</v>
      </c>
    </row>
    <row r="10" spans="1:42" x14ac:dyDescent="0.25">
      <c r="A10" s="59">
        <v>44814</v>
      </c>
      <c r="B10" s="58">
        <v>198116</v>
      </c>
      <c r="D10" s="10" t="s">
        <v>117</v>
      </c>
      <c r="E10" s="11">
        <v>9</v>
      </c>
      <c r="F10" s="39">
        <v>590233.23</v>
      </c>
      <c r="G10" s="39">
        <v>6123183.2699999996</v>
      </c>
      <c r="H10" s="78" t="s">
        <v>120</v>
      </c>
      <c r="I10" s="11" t="s">
        <v>94</v>
      </c>
      <c r="J10" s="33"/>
      <c r="K10" s="10" t="s">
        <v>115</v>
      </c>
      <c r="L10" s="10" t="s">
        <v>95</v>
      </c>
      <c r="M10" s="10" t="s">
        <v>96</v>
      </c>
      <c r="N10" s="21">
        <v>1.5</v>
      </c>
      <c r="O10" s="21">
        <v>27</v>
      </c>
      <c r="P10" s="10" t="s">
        <v>97</v>
      </c>
      <c r="Q10" s="84"/>
      <c r="R10" s="10" t="s">
        <v>97</v>
      </c>
      <c r="S10" s="10" t="s">
        <v>97</v>
      </c>
      <c r="T10" s="84"/>
      <c r="U10" s="21">
        <v>1</v>
      </c>
      <c r="V10" s="10">
        <v>0</v>
      </c>
      <c r="W10" s="21">
        <v>0.2</v>
      </c>
      <c r="X10" s="10" t="s">
        <v>105</v>
      </c>
      <c r="Y10" s="21">
        <v>2.5</v>
      </c>
      <c r="Z10" s="21">
        <v>3.9</v>
      </c>
      <c r="AA10" s="10">
        <v>2.5</v>
      </c>
      <c r="AB10" s="10" t="s">
        <v>97</v>
      </c>
      <c r="AC10" s="10" t="s">
        <v>105</v>
      </c>
      <c r="AD10" s="10" t="s">
        <v>98</v>
      </c>
      <c r="AE10" s="10" t="s">
        <v>113</v>
      </c>
      <c r="AF10" s="20">
        <f t="shared" si="0"/>
        <v>2.6</v>
      </c>
      <c r="AG10" s="13">
        <f t="shared" si="1"/>
        <v>3</v>
      </c>
      <c r="AH10" s="7">
        <f t="shared" si="2"/>
        <v>10</v>
      </c>
      <c r="AI10" s="7">
        <f t="shared" si="3"/>
        <v>0</v>
      </c>
      <c r="AJ10" s="7">
        <f t="shared" si="4"/>
        <v>5</v>
      </c>
      <c r="AK10" s="7">
        <f t="shared" si="5"/>
        <v>6</v>
      </c>
      <c r="AL10" s="12">
        <f t="shared" si="6"/>
        <v>24</v>
      </c>
      <c r="AM10" s="14" t="str">
        <f t="shared" si="7"/>
        <v>Barrier</v>
      </c>
      <c r="AN10" s="88" t="s">
        <v>123</v>
      </c>
      <c r="AO10" s="89">
        <v>10</v>
      </c>
      <c r="AP10" s="10" t="s">
        <v>125</v>
      </c>
    </row>
    <row r="11" spans="1:42" x14ac:dyDescent="0.25">
      <c r="A11" s="59">
        <v>44805</v>
      </c>
      <c r="B11" s="58">
        <v>58067</v>
      </c>
      <c r="C11" s="78"/>
      <c r="D11" s="10" t="s">
        <v>119</v>
      </c>
      <c r="E11" s="10">
        <v>9</v>
      </c>
      <c r="F11" s="87">
        <v>609735.82349958899</v>
      </c>
      <c r="G11" s="87">
        <v>6092879.9218358202</v>
      </c>
      <c r="H11" s="78" t="s">
        <v>121</v>
      </c>
      <c r="I11" s="11" t="s">
        <v>118</v>
      </c>
      <c r="J11" s="33"/>
      <c r="K11" s="10" t="s">
        <v>115</v>
      </c>
      <c r="L11" s="10" t="s">
        <v>95</v>
      </c>
      <c r="M11" s="10" t="s">
        <v>109</v>
      </c>
      <c r="N11" s="21">
        <v>2.2000000000000002</v>
      </c>
      <c r="O11" s="21">
        <v>15.8</v>
      </c>
      <c r="P11" s="10" t="s">
        <v>97</v>
      </c>
      <c r="Q11" s="84"/>
      <c r="R11" s="10" t="s">
        <v>97</v>
      </c>
      <c r="S11" s="10" t="s">
        <v>97</v>
      </c>
      <c r="T11" s="84"/>
      <c r="U11" s="21">
        <v>1.8</v>
      </c>
      <c r="V11" s="10">
        <v>0.49</v>
      </c>
      <c r="W11" s="21">
        <v>1.46</v>
      </c>
      <c r="X11" s="10" t="s">
        <v>105</v>
      </c>
      <c r="Y11" s="21">
        <v>0.3</v>
      </c>
      <c r="Z11" s="21">
        <v>6.6</v>
      </c>
      <c r="AA11" s="10">
        <v>4</v>
      </c>
      <c r="AB11" s="10" t="s">
        <v>97</v>
      </c>
      <c r="AC11" s="10" t="s">
        <v>97</v>
      </c>
      <c r="AD11" s="10" t="s">
        <v>98</v>
      </c>
      <c r="AE11" s="10" t="s">
        <v>113</v>
      </c>
      <c r="AF11" s="20">
        <f t="shared" si="0"/>
        <v>2.9999999999999996</v>
      </c>
      <c r="AG11" s="13">
        <f t="shared" si="1"/>
        <v>3</v>
      </c>
      <c r="AH11" s="7">
        <f t="shared" si="2"/>
        <v>10</v>
      </c>
      <c r="AI11" s="7">
        <f t="shared" si="3"/>
        <v>10</v>
      </c>
      <c r="AJ11" s="7">
        <f>IF(Y11&lt;1,0,IF(AND(Y11&gt;=1,Y11&lt;3),5,IF(Y11&gt;=3,10,0)))</f>
        <v>0</v>
      </c>
      <c r="AK11" s="7">
        <f t="shared" si="5"/>
        <v>6</v>
      </c>
      <c r="AL11" s="12">
        <f t="shared" si="6"/>
        <v>29</v>
      </c>
      <c r="AM11" s="14" t="str">
        <f t="shared" si="7"/>
        <v>Barrier</v>
      </c>
      <c r="AN11" s="88" t="s">
        <v>123</v>
      </c>
      <c r="AO11" s="88">
        <v>11.5</v>
      </c>
      <c r="AP11" s="10" t="s">
        <v>126</v>
      </c>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Qvh7ptTfI9ZXeemOtbWeMZUHKvZOc/fkrvd1I9+e6KzAPypqfwaO9NX0iDCq/AZ5CVqVOtdhbmUDQjMTaKTQCQ==" saltValue="BvTSPR5NuTiZFf5p8MA19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2.19 and &gt;= 0.01" sqref="Q11: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8" xr:uid="{362FAA47-0DA7-4390-99EF-069BCBCFE3AB}">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2023-01-27T22:03:25Z</dcterms:modified>
</cp:coreProperties>
</file>