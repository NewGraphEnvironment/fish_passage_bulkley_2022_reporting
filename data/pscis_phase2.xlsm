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8123DF3D-20C5-4448-9C7F-A831E0182213}"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<sst xmlns="http://schemas.openxmlformats.org/spreadsheetml/2006/main" count="211" uniqueCount="132">
  <si>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</si>
  <si>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</si>
  <si>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</si>
  <si>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</si>
  <si>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</si>
  <si>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</si>
  <si>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</si>
  <si>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</si>
  <si>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</si>
  <si>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</si>
  <si>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</si>
  <si>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</si>
  <si>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</si>
  <si>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</si>
  <si>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</si>
  <si>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</si>
  <si>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</si>
  <si>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</si>
  <si>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</si>
  <si>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</si>
  <si>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</si>
  <si>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</si>
  <si>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</si>
  <si>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</si>
  <si>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</si>
  <si>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</si>
  <si>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</si>
  <si>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</si>
  <si>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</si>
  <si>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</si>
  <si>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</si>
  <si>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</si>
  <si>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</si>
  <si>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</si>
  <si>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</si>
  <si>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</si>
  <si>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</si>
  <si>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</si>
  <si>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</si>
  <si>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</si>
  <si>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</si>
  <si>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</si>
  <si>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</si>
  <si>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</si>
  <si>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</si>
  <si>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</si>
  <si>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</si>
  <si>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</si>
  <si>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</si>
  <si>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</si>
  <si>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</si>
  <si>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</si>
  <si>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</si>
  <si>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</si>
  <si>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</si>
  <si>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</si>
  <si>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</si>
  <si>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</si>
  <si>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</si>
  <si>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</si>
  <si>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</si>
  <si>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</si>
  <si>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</si>
  <si>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</si>
  <si>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</si>
  <si>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</si>
  <si>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</si>
  <si>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</si>
  <si>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</si>
  <si>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</si>
  <si>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</si>
  <si>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</si>
  <si>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</si>
  <si>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</si>
  <si>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</si>
  <si>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</si>
  <si>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</si>
  <si>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</si>
  <si>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</si>
  <si>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</si>
  <si>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</si>
  <si>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</si>
  <si>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</si>
  <si>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</si>
  <si>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</si>
  <si>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</si>
  <si>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</si>
  <si>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</si>
  <si>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</si>
  <si>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</si>
  <si>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</si>
  <si>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</si>
  <si>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</si>
  <si>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</si>
  <si>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</si>
  <si>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</si>
  <si>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</si>
  <si>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</si>
  <si>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</si>
  <si>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</si>
  <si>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</si>
  <si>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</si>
  <si>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</si>
  <si>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</si>
  <si>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</si>
  <si>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</si>
  <si>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</si>
  <si>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</si>
  <si>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</si>
  <si>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</si>
  <si>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</si>
  <si>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</si>
  <si>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</si>
  <si>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</si>
  <si>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</si>
  <si>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</si>
  <si>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</si>
  <si>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</si>
  <si>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</si>
  <si>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</si>
  <si>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</si>
  <si>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</si>
  <si>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</si>
  <si>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</si>
  <si>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</si>
  <si>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</si>
  <si>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 xml:space="preserve">Stream is not mapped correctly in the freshwater atlas as it actually flows in a north direction through town. Great flow, patches of gravel suitable for cohost Bonnie. Right within the town of New Hazelton. Trap and truck coho operation occurring with spawners transplanted upstream of the railway and 14th avenue. 16:34                  </t>
  </si>
  <si>
    <t>Tributary to Waterfall Creek</t>
  </si>
  <si>
    <t xml:space="preserve">Gramophone Creek </t>
  </si>
  <si>
    <t>Vallee Creek</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</si>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</sst>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N16" sqref="AN16"/>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120</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N5" s="10" t="s">
        <v>131</v>
      </c>
      <c r="AO5" s="10">
        <v>3</v>
      </c>
      <c r="AP5" s="78" t="s">
        <v>100</v>
      </c>
    </row>
    <row r="6" spans="1:42" x14ac:dyDescent="0.25">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N6" s="10" t="s">
        <v>131</v>
      </c>
      <c r="AO6" s="10">
        <v>3</v>
      </c>
      <c r="AP6" s="78" t="s">
        <v>106</v>
      </c>
    </row>
    <row r="7" spans="1:42" x14ac:dyDescent="0.25">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10" t="s">
        <v>130</v>
      </c>
      <c r="AO7" s="10">
        <v>10</v>
      </c>
      <c r="AP7" s="10" t="s">
        <v>112</v>
      </c>
    </row>
    <row r="8" spans="1:42" x14ac:dyDescent="0.25">
      <c r="A8" s="59">
        <v>44803</v>
      </c>
      <c r="B8" s="82">
        <v>198110</v>
      </c>
      <c r="D8" s="10" t="s">
        <v>113</v>
      </c>
      <c r="E8" s="11">
        <v>9</v>
      </c>
      <c r="F8" s="39">
        <v>645355</v>
      </c>
      <c r="G8" s="39">
        <v>6034873</v>
      </c>
      <c r="H8" s="10" t="s">
        <v>109</v>
      </c>
      <c r="I8" s="11" t="s">
        <v>110</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x14ac:dyDescent="0.25">
      <c r="A9" s="59">
        <v>44804</v>
      </c>
      <c r="B9" s="58">
        <v>57793</v>
      </c>
      <c r="D9" s="10" t="s">
        <v>116</v>
      </c>
      <c r="E9" s="11">
        <v>9</v>
      </c>
      <c r="F9" s="39">
        <v>641460</v>
      </c>
      <c r="G9" s="39">
        <v>6044049</v>
      </c>
      <c r="H9" s="78" t="s">
        <v>129</v>
      </c>
      <c r="I9" s="11" t="s">
        <v>117</v>
      </c>
      <c r="J9" s="33"/>
      <c r="K9" s="10" t="s">
        <v>120</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118</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130</v>
      </c>
      <c r="AO9" s="10">
        <v>10</v>
      </c>
      <c r="AP9" s="10" t="s">
        <v>119</v>
      </c>
    </row>
    <row r="10" spans="1:42" x14ac:dyDescent="0.25">
      <c r="A10" s="59">
        <v>44814</v>
      </c>
      <c r="B10" s="58">
        <v>198116</v>
      </c>
      <c r="D10" s="10" t="s">
        <v>122</v>
      </c>
      <c r="E10" s="11">
        <v>9</v>
      </c>
      <c r="F10" s="39">
        <v>590233.23</v>
      </c>
      <c r="G10" s="39">
        <v>6123183.2699999996</v>
      </c>
      <c r="H10" s="78" t="s">
        <v>127</v>
      </c>
      <c r="I10" s="11" t="s">
        <v>94</v>
      </c>
      <c r="J10" s="33"/>
      <c r="K10" s="10" t="s">
        <v>120</v>
      </c>
      <c r="L10" s="10" t="s">
        <v>95</v>
      </c>
      <c r="M10" s="10" t="s">
        <v>96</v>
      </c>
      <c r="N10" s="21">
        <v>1.5</v>
      </c>
      <c r="O10" s="21">
        <v>27</v>
      </c>
      <c r="P10" s="10" t="s">
        <v>97</v>
      </c>
      <c r="Q10" s="87"/>
      <c r="R10" s="10" t="s">
        <v>97</v>
      </c>
      <c r="S10" s="10" t="s">
        <v>97</v>
      </c>
      <c r="T10" s="87"/>
      <c r="U10" s="21">
        <v>1</v>
      </c>
      <c r="V10" s="10">
        <v>0</v>
      </c>
      <c r="W10" s="21">
        <v>0.2</v>
      </c>
      <c r="X10" s="10" t="s">
        <v>107</v>
      </c>
      <c r="Z10" s="21">
        <v>3.9</v>
      </c>
      <c r="AA10" s="10">
        <v>2.5</v>
      </c>
      <c r="AB10" s="10" t="s">
        <v>97</v>
      </c>
      <c r="AC10" s="10" t="s">
        <v>107</v>
      </c>
      <c r="AE10" s="10" t="s">
        <v>118</v>
      </c>
      <c r="AF10" s="20">
        <f t="shared" si="0"/>
        <v>2.6</v>
      </c>
      <c r="AG10" s="13">
        <f t="shared" si="1"/>
        <v>3</v>
      </c>
      <c r="AH10" s="7">
        <f t="shared" si="2"/>
        <v>10</v>
      </c>
      <c r="AI10" s="7">
        <f t="shared" si="3"/>
        <v>0</v>
      </c>
      <c r="AJ10" s="7">
        <f t="shared" si="4"/>
        <v>0</v>
      </c>
      <c r="AK10" s="7">
        <f t="shared" si="5"/>
        <v>6</v>
      </c>
      <c r="AL10" s="12">
        <f t="shared" si="6"/>
        <v>19</v>
      </c>
      <c r="AM10" s="14" t="str">
        <f t="shared" si="7"/>
        <v>Potential</v>
      </c>
      <c r="AN10" s="10" t="s">
        <v>130</v>
      </c>
      <c r="AO10" s="21">
        <v>10</v>
      </c>
      <c r="AP10" s="10" t="s">
        <v>126</v>
      </c>
    </row>
    <row r="11" spans="1:42" x14ac:dyDescent="0.25">
      <c r="A11" s="59">
        <v>44803</v>
      </c>
      <c r="B11" s="58">
        <v>195944</v>
      </c>
      <c r="C11" s="78"/>
      <c r="D11" s="10" t="s">
        <v>108</v>
      </c>
      <c r="E11" s="10">
        <v>9</v>
      </c>
      <c r="F11" s="80">
        <v>646015.19120994303</v>
      </c>
      <c r="G11" s="80">
        <v>6035569.6458600396</v>
      </c>
      <c r="H11" s="78" t="s">
        <v>109</v>
      </c>
      <c r="I11" s="11" t="s">
        <v>94</v>
      </c>
      <c r="J11" s="33"/>
      <c r="K11" s="10" t="s">
        <v>120</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N11" s="10" t="s">
        <v>131</v>
      </c>
      <c r="AO11" s="10">
        <v>4.5</v>
      </c>
      <c r="AP11" s="10" t="s">
        <v>121</v>
      </c>
    </row>
    <row r="12" spans="1:42" x14ac:dyDescent="0.25">
      <c r="A12" s="59">
        <v>44805</v>
      </c>
      <c r="B12" s="58">
        <v>58067</v>
      </c>
      <c r="D12" s="10" t="s">
        <v>124</v>
      </c>
      <c r="E12" s="11">
        <v>9</v>
      </c>
      <c r="F12" s="39">
        <v>609735.82349958899</v>
      </c>
      <c r="G12" s="39">
        <v>6092879.9218358202</v>
      </c>
      <c r="H12" s="11" t="s">
        <v>128</v>
      </c>
      <c r="I12" s="11" t="s">
        <v>123</v>
      </c>
      <c r="J12" s="33"/>
      <c r="K12" s="11" t="s">
        <v>120</v>
      </c>
      <c r="L12" s="10" t="s">
        <v>95</v>
      </c>
      <c r="M12" s="10" t="s">
        <v>111</v>
      </c>
      <c r="N12" s="21">
        <v>2.2000000000000002</v>
      </c>
      <c r="O12" s="21">
        <v>15.8</v>
      </c>
      <c r="P12" s="10" t="s">
        <v>97</v>
      </c>
      <c r="Q12" s="86"/>
      <c r="R12" s="10" t="s">
        <v>97</v>
      </c>
      <c r="S12" s="10" t="s">
        <v>97</v>
      </c>
      <c r="T12" s="87"/>
      <c r="U12" s="21">
        <v>1.8</v>
      </c>
      <c r="V12" s="10">
        <v>0.49</v>
      </c>
      <c r="W12" s="21">
        <v>1.46</v>
      </c>
      <c r="X12" s="10" t="s">
        <v>107</v>
      </c>
      <c r="Y12" s="21">
        <v>0.3</v>
      </c>
      <c r="Z12" s="21">
        <v>6.6</v>
      </c>
      <c r="AA12" s="10">
        <v>4</v>
      </c>
      <c r="AB12" s="10" t="s">
        <v>97</v>
      </c>
      <c r="AC12" s="10" t="s">
        <v>97</v>
      </c>
      <c r="AD12" s="10" t="s">
        <v>98</v>
      </c>
      <c r="AE12" s="10" t="s">
        <v>118</v>
      </c>
      <c r="AF12" s="20">
        <f t="shared" ref="AF12:AF72" si="8">IF(ISBLANK(Z12), 0, IF(ISBLANK(N12) &lt; 0, 0,Z12 / N12))</f>
        <v>2.9999999999999996</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N12" s="10" t="s">
        <v>130</v>
      </c>
      <c r="AO12" s="21">
        <v>11.5</v>
      </c>
      <c r="AP12" s="10" t="s">
        <v>125</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Nb625NtWog+RYdqfcUrSexItOxLZHEWu3Y6+nUZappl9C45bYZaL9qQL/nkbY4l1vV72dMqF4NRkeUZm0jOUQ==" saltValue="PZmiIrIVnjW3z/I2UlrXo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7 N9: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decimal" allowBlank="1" showInputMessage="1" showErrorMessage="1" errorTitle="Invalid value entered" error="The Average Depth Embededdment you entered is invalid. The Average Depth Embededdment must be &lt;= 2.19 and &gt;= 0.01" sqref="Q12: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2023-01-08T01:07:16Z</dcterms:modified>
</cp:coreProperties>
</file>