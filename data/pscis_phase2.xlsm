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current\2022-059-cwf-bulkley\data\"/>
    </mc:Choice>
  </mc:AlternateContent>
  <xr:revisionPtr revIDLastSave="0" documentId="13_ncr:1_{AD4BDFD2-CEA9-4A61-8E6E-EFC142C0F703}" xr6:coauthVersionLast="47" xr6:coauthVersionMax="47" xr10:uidLastSave="{00000000-0000-0000-0000-000000000000}"/>
  <bookViews>
    <workbookView xWindow="-28920" yWindow="-105"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s="1"/>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L5057" i="2" s="1"/>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L6" i="2" s="1"/>
  <c r="AM6" i="2" s="1"/>
  <c r="AF7" i="2"/>
  <c r="AK7" i="2" s="1"/>
  <c r="AG7" i="2"/>
  <c r="AH7" i="2"/>
  <c r="AI7" i="2"/>
  <c r="AJ7" i="2"/>
  <c r="AF8" i="2"/>
  <c r="AK8" i="2" s="1"/>
  <c r="AG8" i="2"/>
  <c r="AH8" i="2"/>
  <c r="AI8" i="2"/>
  <c r="AL8" i="2" s="1"/>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L48" i="2" s="1"/>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L947" i="2" s="1"/>
  <c r="AG947" i="2"/>
  <c r="AH947" i="2"/>
  <c r="AI947" i="2"/>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L1111" i="2" s="1"/>
  <c r="AF1112" i="2"/>
  <c r="AK1112" i="2" s="1"/>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L1135" i="2" s="1"/>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s="1"/>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c r="AG1343" i="2"/>
  <c r="AL1343" i="2" s="1"/>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L1455" i="2" s="1"/>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c r="AL2191" i="2" s="1"/>
  <c r="AG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c r="AG2221" i="2"/>
  <c r="AH2221" i="2"/>
  <c r="AI2221" i="2"/>
  <c r="AJ2221" i="2"/>
  <c r="AF2222" i="2"/>
  <c r="AK2222" i="2" s="1"/>
  <c r="AG2222" i="2"/>
  <c r="AH2222" i="2"/>
  <c r="AI2222" i="2"/>
  <c r="AJ2222" i="2"/>
  <c r="AF2223" i="2"/>
  <c r="AK2223" i="2" s="1"/>
  <c r="AG2223" i="2"/>
  <c r="AH2223" i="2"/>
  <c r="AI2223" i="2"/>
  <c r="AJ2223" i="2"/>
  <c r="AF2224" i="2"/>
  <c r="AK2224" i="2"/>
  <c r="AL2224" i="2" s="1"/>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L2263" i="2" s="1"/>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G2282" i="2"/>
  <c r="AH2282" i="2"/>
  <c r="AI2282" i="2"/>
  <c r="AJ2282" i="2"/>
  <c r="AL2282" i="2" s="1"/>
  <c r="AF2283" i="2"/>
  <c r="AK2283" i="2"/>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c r="AL2295" i="2" s="1"/>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c r="AG2309" i="2"/>
  <c r="AH2309" i="2"/>
  <c r="AI2309" i="2"/>
  <c r="AJ2309" i="2"/>
  <c r="AF2310" i="2"/>
  <c r="AK2310" i="2" s="1"/>
  <c r="AG2310" i="2"/>
  <c r="AH2310" i="2"/>
  <c r="AI2310" i="2"/>
  <c r="AJ2310" i="2"/>
  <c r="AF2311" i="2"/>
  <c r="AK2311" i="2" s="1"/>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c r="AG2334" i="2"/>
  <c r="AL2334" i="2" s="1"/>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c r="AG2357" i="2"/>
  <c r="AH2357" i="2"/>
  <c r="AI2357" i="2"/>
  <c r="AL2357" i="2" s="1"/>
  <c r="AJ2357" i="2"/>
  <c r="AF2358" i="2"/>
  <c r="AK2358" i="2" s="1"/>
  <c r="AG2358" i="2"/>
  <c r="AH2358" i="2"/>
  <c r="AI2358" i="2"/>
  <c r="AJ2358" i="2"/>
  <c r="AF2359" i="2"/>
  <c r="AK2359" i="2"/>
  <c r="AG2359" i="2"/>
  <c r="AH2359" i="2"/>
  <c r="AI2359" i="2"/>
  <c r="AJ2359" i="2"/>
  <c r="AF2360" i="2"/>
  <c r="AK2360" i="2"/>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L2383" i="2" s="1"/>
  <c r="AI2383" i="2"/>
  <c r="AJ2383" i="2"/>
  <c r="AF2384" i="2"/>
  <c r="AK2384" i="2" s="1"/>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L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L2438" i="2" s="1"/>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s="1"/>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L2542" i="2" s="1"/>
  <c r="AJ2542" i="2"/>
  <c r="AF2543" i="2"/>
  <c r="AK2543" i="2" s="1"/>
  <c r="AG2543" i="2"/>
  <c r="AH2543" i="2"/>
  <c r="AI2543" i="2"/>
  <c r="AJ2543" i="2"/>
  <c r="AF2544" i="2"/>
  <c r="AK2544" i="2"/>
  <c r="AG2544" i="2"/>
  <c r="AH2544" i="2"/>
  <c r="AI2544" i="2"/>
  <c r="AJ2544" i="2"/>
  <c r="AL2544" i="2" s="1"/>
  <c r="AF2545" i="2"/>
  <c r="AK2545" i="2" s="1"/>
  <c r="AG2545" i="2"/>
  <c r="AL2545" i="2" s="1"/>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s="1"/>
  <c r="AG2605" i="2"/>
  <c r="AH2605" i="2"/>
  <c r="AL2605" i="2"/>
  <c r="AI2605" i="2"/>
  <c r="AJ2605" i="2"/>
  <c r="AF2606" i="2"/>
  <c r="AK2606" i="2"/>
  <c r="AG2606" i="2"/>
  <c r="AH2606" i="2"/>
  <c r="AI2606" i="2"/>
  <c r="AJ2606" i="2"/>
  <c r="AL2606" i="2" s="1"/>
  <c r="AF2607" i="2"/>
  <c r="AK2607" i="2" s="1"/>
  <c r="AG2607" i="2"/>
  <c r="AH2607" i="2"/>
  <c r="AI2607" i="2"/>
  <c r="AJ2607" i="2"/>
  <c r="AF2608" i="2"/>
  <c r="AK2608" i="2"/>
  <c r="AL2608" i="2" s="1"/>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s="1"/>
  <c r="AG2637" i="2"/>
  <c r="AH2637" i="2"/>
  <c r="AL2637" i="2" s="1"/>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L2653" i="2" s="1"/>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L2673" i="2" s="1"/>
  <c r="AF2674" i="2"/>
  <c r="AK2674" i="2"/>
  <c r="AG2674" i="2"/>
  <c r="AL2674" i="2" s="1"/>
  <c r="AH2674" i="2"/>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L2679" i="2" s="1"/>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L2705" i="2" s="1"/>
  <c r="AG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c r="AG2722" i="2"/>
  <c r="AH2722" i="2"/>
  <c r="AI2722" i="2"/>
  <c r="AL2722" i="2" s="1"/>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s="1"/>
  <c r="AG2750" i="2"/>
  <c r="AH2750" i="2"/>
  <c r="AI2750" i="2"/>
  <c r="AJ2750" i="2"/>
  <c r="AF2751" i="2"/>
  <c r="AK2751" i="2"/>
  <c r="AG2751" i="2"/>
  <c r="AH2751" i="2"/>
  <c r="AL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s="1"/>
  <c r="AG2767" i="2"/>
  <c r="AL2767" i="2" s="1"/>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L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L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L3302" i="2" s="1"/>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c r="AG3326" i="2"/>
  <c r="AH3326" i="2"/>
  <c r="AI3326" i="2"/>
  <c r="AJ3326" i="2"/>
  <c r="AF3327" i="2"/>
  <c r="AK3327" i="2"/>
  <c r="AL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c r="AG3382" i="2"/>
  <c r="AH3382" i="2"/>
  <c r="AL3382" i="2" s="1"/>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L3443" i="2" s="1"/>
  <c r="AH3443" i="2"/>
  <c r="AI3443" i="2"/>
  <c r="AJ3443" i="2"/>
  <c r="AF3444" i="2"/>
  <c r="AK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L3465" i="2" s="1"/>
  <c r="AI3465" i="2"/>
  <c r="AJ3465" i="2"/>
  <c r="AF3466" i="2"/>
  <c r="AK3466" i="2"/>
  <c r="AG3466" i="2"/>
  <c r="AH3466" i="2"/>
  <c r="AI3466" i="2"/>
  <c r="AJ3466" i="2"/>
  <c r="AF3467" i="2"/>
  <c r="AK3467" i="2" s="1"/>
  <c r="AG3467" i="2"/>
  <c r="AH3467" i="2"/>
  <c r="AI3467" i="2"/>
  <c r="AJ3467" i="2"/>
  <c r="AF3468" i="2"/>
  <c r="AK3468" i="2"/>
  <c r="AL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L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K3499" i="2" s="1"/>
  <c r="AL3499" i="2" s="1"/>
  <c r="AG3499" i="2"/>
  <c r="AH3499" i="2"/>
  <c r="AI3499" i="2"/>
  <c r="AJ3499" i="2"/>
  <c r="AF3500" i="2"/>
  <c r="AK3500" i="2"/>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L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L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L3726" i="2"/>
  <c r="AH3726" i="2"/>
  <c r="AI3726" i="2"/>
  <c r="AJ3726" i="2"/>
  <c r="AF3727" i="2"/>
  <c r="AK3727" i="2"/>
  <c r="AG3727" i="2"/>
  <c r="AH3727" i="2"/>
  <c r="AI3727" i="2"/>
  <c r="AJ3727" i="2"/>
  <c r="AF3728" i="2"/>
  <c r="AK3728" i="2"/>
  <c r="AG3728" i="2"/>
  <c r="AH3728" i="2"/>
  <c r="AI3728" i="2"/>
  <c r="AJ3728" i="2"/>
  <c r="AL3728" i="2" s="1"/>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L3735" i="2" s="1"/>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H3740" i="2"/>
  <c r="AI3740" i="2"/>
  <c r="AJ3740" i="2"/>
  <c r="AF3741" i="2"/>
  <c r="AK3741" i="2" s="1"/>
  <c r="AL3741" i="2" s="1"/>
  <c r="AG3741" i="2"/>
  <c r="AH3741" i="2"/>
  <c r="AI3741" i="2"/>
  <c r="AJ3741" i="2"/>
  <c r="AF3742" i="2"/>
  <c r="AK3742" i="2"/>
  <c r="AG3742" i="2"/>
  <c r="AH3742" i="2"/>
  <c r="AI3742" i="2"/>
  <c r="AJ3742" i="2"/>
  <c r="AF3743" i="2"/>
  <c r="AK3743" i="2" s="1"/>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L3751" i="2" s="1"/>
  <c r="AH3751" i="2"/>
  <c r="AI3751" i="2"/>
  <c r="AJ3751" i="2"/>
  <c r="AF3752" i="2"/>
  <c r="AK3752" i="2" s="1"/>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s="1"/>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s="1"/>
  <c r="AG3834" i="2"/>
  <c r="AH3834" i="2"/>
  <c r="AI3834" i="2"/>
  <c r="AJ3834" i="2"/>
  <c r="AF3835" i="2"/>
  <c r="AK3835" i="2" s="1"/>
  <c r="AG3835" i="2"/>
  <c r="AL3835" i="2" s="1"/>
  <c r="AH3835" i="2"/>
  <c r="AI3835" i="2"/>
  <c r="AJ3835" i="2"/>
  <c r="AF3836" i="2"/>
  <c r="AK3836" i="2" s="1"/>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c r="AG3883" i="2"/>
  <c r="AH3883" i="2"/>
  <c r="AL3883" i="2"/>
  <c r="AI3883" i="2"/>
  <c r="AJ3883" i="2"/>
  <c r="AF3884" i="2"/>
  <c r="AK3884" i="2" s="1"/>
  <c r="AG3884" i="2"/>
  <c r="AH3884" i="2"/>
  <c r="AL3884" i="2" s="1"/>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J3925" i="2"/>
  <c r="AF3926" i="2"/>
  <c r="AK3926" i="2"/>
  <c r="AG3926" i="2"/>
  <c r="AH3926" i="2"/>
  <c r="AI3926" i="2"/>
  <c r="AJ3926" i="2"/>
  <c r="AF3927" i="2"/>
  <c r="AK3927" i="2" s="1"/>
  <c r="AG3927" i="2"/>
  <c r="AH3927" i="2"/>
  <c r="AI3927" i="2"/>
  <c r="AJ3927" i="2"/>
  <c r="AF3928" i="2"/>
  <c r="AK3928" i="2" s="1"/>
  <c r="AG3928" i="2"/>
  <c r="AH3928" i="2"/>
  <c r="AI3928" i="2"/>
  <c r="AL3928" i="2" s="1"/>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L3936" i="2" s="1"/>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c r="AG3949" i="2"/>
  <c r="AH3949" i="2"/>
  <c r="AI3949" i="2"/>
  <c r="AJ3949" i="2"/>
  <c r="AF3950" i="2"/>
  <c r="AK3950" i="2"/>
  <c r="AG3950" i="2"/>
  <c r="AH3950" i="2"/>
  <c r="AL3950" i="2" s="1"/>
  <c r="AI3950" i="2"/>
  <c r="AJ3950" i="2"/>
  <c r="AF3951" i="2"/>
  <c r="AK3951" i="2" s="1"/>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L3955" i="2" s="1"/>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L4052" i="2" s="1"/>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L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L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L4116" i="2" s="1"/>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L4122" i="2" s="1"/>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c r="AG4194" i="2"/>
  <c r="AH4194" i="2"/>
  <c r="AL4194" i="2" s="1"/>
  <c r="AI4194" i="2"/>
  <c r="AJ4194" i="2"/>
  <c r="AF4195" i="2"/>
  <c r="AK4195" i="2"/>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L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L4269" i="2" s="1"/>
  <c r="AG4269" i="2"/>
  <c r="AH4269" i="2"/>
  <c r="AI4269" i="2"/>
  <c r="AJ4269" i="2"/>
  <c r="AF4270" i="2"/>
  <c r="AK4270" i="2" s="1"/>
  <c r="AG4270" i="2"/>
  <c r="AH4270" i="2"/>
  <c r="AL4270" i="2" s="1"/>
  <c r="AI4270" i="2"/>
  <c r="AJ4270" i="2"/>
  <c r="AF4271" i="2"/>
  <c r="AK4271" i="2"/>
  <c r="AG4271" i="2"/>
  <c r="AH4271" i="2"/>
  <c r="AL4271" i="2" s="1"/>
  <c r="AI4271" i="2"/>
  <c r="AJ4271" i="2"/>
  <c r="AF4272" i="2"/>
  <c r="AK4272" i="2"/>
  <c r="AG4272" i="2"/>
  <c r="AH4272" i="2"/>
  <c r="AI4272" i="2"/>
  <c r="AJ4272" i="2"/>
  <c r="AF4273" i="2"/>
  <c r="AK4273" i="2" s="1"/>
  <c r="AG4273" i="2"/>
  <c r="AH4273" i="2"/>
  <c r="AI4273" i="2"/>
  <c r="AJ4273" i="2"/>
  <c r="AF4274" i="2"/>
  <c r="AK4274" i="2" s="1"/>
  <c r="AL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s="1"/>
  <c r="AG4295" i="2"/>
  <c r="AH4295" i="2"/>
  <c r="AL4295" i="2" s="1"/>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c r="AG4304" i="2"/>
  <c r="AL4304" i="2" s="1"/>
  <c r="AH4304" i="2"/>
  <c r="AI4304" i="2"/>
  <c r="AJ4304" i="2"/>
  <c r="AF4305" i="2"/>
  <c r="AK4305" i="2" s="1"/>
  <c r="AG4305" i="2"/>
  <c r="AH4305" i="2"/>
  <c r="AI4305" i="2"/>
  <c r="AJ4305" i="2"/>
  <c r="AF4306" i="2"/>
  <c r="AK4306" i="2" s="1"/>
  <c r="AL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L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L4320" i="2" s="1"/>
  <c r="AG4320" i="2"/>
  <c r="AH4320" i="2"/>
  <c r="AI4320" i="2"/>
  <c r="AJ4320" i="2"/>
  <c r="AF4321" i="2"/>
  <c r="AK4321" i="2" s="1"/>
  <c r="AG4321" i="2"/>
  <c r="AH4321" i="2"/>
  <c r="AI4321" i="2"/>
  <c r="AJ4321" i="2"/>
  <c r="AF4322" i="2"/>
  <c r="AK4322" i="2"/>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H4371" i="2"/>
  <c r="AL4371" i="2" s="1"/>
  <c r="AI4371" i="2"/>
  <c r="AJ4371" i="2"/>
  <c r="AF4372" i="2"/>
  <c r="AK4372" i="2"/>
  <c r="AG4372" i="2"/>
  <c r="AL4372" i="2" s="1"/>
  <c r="AH4372" i="2"/>
  <c r="AI4372" i="2"/>
  <c r="AJ4372" i="2"/>
  <c r="AF4373" i="2"/>
  <c r="AK4373" i="2" s="1"/>
  <c r="AL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c r="AG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s="1"/>
  <c r="AG4401" i="2"/>
  <c r="AH4401" i="2"/>
  <c r="AI4401" i="2"/>
  <c r="AJ4401" i="2"/>
  <c r="AF4402" i="2"/>
  <c r="AK4402" i="2" s="1"/>
  <c r="AG4402" i="2"/>
  <c r="AL4402" i="2" s="1"/>
  <c r="AH4402" i="2"/>
  <c r="AI4402" i="2"/>
  <c r="AJ4402" i="2"/>
  <c r="AF4403" i="2"/>
  <c r="AK4403" i="2" s="1"/>
  <c r="AL4403" i="2" s="1"/>
  <c r="AG4403" i="2"/>
  <c r="AH4403" i="2"/>
  <c r="AI4403" i="2"/>
  <c r="AJ4403" i="2"/>
  <c r="AF4404" i="2"/>
  <c r="AK4404" i="2"/>
  <c r="AG4404" i="2"/>
  <c r="AH4404" i="2"/>
  <c r="AI4404" i="2"/>
  <c r="AJ4404" i="2"/>
  <c r="AF4405" i="2"/>
  <c r="AK4405" i="2" s="1"/>
  <c r="AG4405" i="2"/>
  <c r="AH4405" i="2"/>
  <c r="AI4405" i="2"/>
  <c r="AJ4405" i="2"/>
  <c r="AL4405" i="2" s="1"/>
  <c r="AF4406" i="2"/>
  <c r="AK4406" i="2" s="1"/>
  <c r="AG4406" i="2"/>
  <c r="AH4406" i="2"/>
  <c r="AI4406" i="2"/>
  <c r="AJ4406" i="2"/>
  <c r="AF4407" i="2"/>
  <c r="AK4407" i="2" s="1"/>
  <c r="AG4407" i="2"/>
  <c r="AL4407" i="2" s="1"/>
  <c r="AH4407" i="2"/>
  <c r="AI4407" i="2"/>
  <c r="AJ4407" i="2"/>
  <c r="AF4408" i="2"/>
  <c r="AK4408" i="2"/>
  <c r="AG4408" i="2"/>
  <c r="AH4408" i="2"/>
  <c r="AI4408" i="2"/>
  <c r="AJ4408" i="2"/>
  <c r="AF4409" i="2"/>
  <c r="AK4409" i="2" s="1"/>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L4420" i="2" s="1"/>
  <c r="AF4421" i="2"/>
  <c r="AK4421" i="2"/>
  <c r="AG4421" i="2"/>
  <c r="AL4421" i="2" s="1"/>
  <c r="AH4421" i="2"/>
  <c r="AI4421" i="2"/>
  <c r="AJ4421" i="2"/>
  <c r="AF4422" i="2"/>
  <c r="AK4422" i="2" s="1"/>
  <c r="AG4422" i="2"/>
  <c r="AH4422" i="2"/>
  <c r="AI4422" i="2"/>
  <c r="AJ4422" i="2"/>
  <c r="AF4423" i="2"/>
  <c r="AK4423" i="2"/>
  <c r="AL4423" i="2" s="1"/>
  <c r="AG4423" i="2"/>
  <c r="AH4423" i="2"/>
  <c r="AI4423" i="2"/>
  <c r="AJ4423" i="2"/>
  <c r="AF4424" i="2"/>
  <c r="AK4424" i="2" s="1"/>
  <c r="AG4424" i="2"/>
  <c r="AH4424" i="2"/>
  <c r="AI4424" i="2"/>
  <c r="AJ4424" i="2"/>
  <c r="AF4425" i="2"/>
  <c r="AK4425" i="2" s="1"/>
  <c r="AG4425" i="2"/>
  <c r="AH4425" i="2"/>
  <c r="AI4425" i="2"/>
  <c r="AJ4425" i="2"/>
  <c r="AF4426" i="2"/>
  <c r="AK4426" i="2"/>
  <c r="AG4426" i="2"/>
  <c r="AL4426" i="2" s="1"/>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c r="AG4430" i="2"/>
  <c r="AH4430" i="2"/>
  <c r="AL4430" i="2"/>
  <c r="AI4430" i="2"/>
  <c r="AJ4430" i="2"/>
  <c r="AF4431" i="2"/>
  <c r="AK4431" i="2"/>
  <c r="AG4431" i="2"/>
  <c r="AH4431" i="2"/>
  <c r="AI4431" i="2"/>
  <c r="AJ4431" i="2"/>
  <c r="AF4432" i="2"/>
  <c r="AK4432" i="2"/>
  <c r="AG4432" i="2"/>
  <c r="AL4432" i="2" s="1"/>
  <c r="AH4432" i="2"/>
  <c r="AI4432" i="2"/>
  <c r="AJ4432" i="2"/>
  <c r="AF4433" i="2"/>
  <c r="AK4433" i="2" s="1"/>
  <c r="AG4433" i="2"/>
  <c r="AH4433" i="2"/>
  <c r="AI4433" i="2"/>
  <c r="AJ4433" i="2"/>
  <c r="AF4434" i="2"/>
  <c r="AK4434" i="2" s="1"/>
  <c r="AG4434" i="2"/>
  <c r="AH4434" i="2"/>
  <c r="AI4434" i="2"/>
  <c r="AJ4434" i="2"/>
  <c r="AF4435" i="2"/>
  <c r="AK4435" i="2"/>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s="1"/>
  <c r="AL4444" i="2" s="1"/>
  <c r="AG4444" i="2"/>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L4448" i="2" s="1"/>
  <c r="AG4448" i="2"/>
  <c r="AH4448" i="2"/>
  <c r="AI4448" i="2"/>
  <c r="AJ4448" i="2"/>
  <c r="AF4449" i="2"/>
  <c r="AK4449" i="2" s="1"/>
  <c r="AG4449" i="2"/>
  <c r="AH4449" i="2"/>
  <c r="AI4449" i="2"/>
  <c r="AJ4449" i="2"/>
  <c r="AF4450" i="2"/>
  <c r="AK4450" i="2"/>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L4458" i="2" s="1"/>
  <c r="AH4458" i="2"/>
  <c r="AI4458" i="2"/>
  <c r="AJ4458" i="2"/>
  <c r="AF4459" i="2"/>
  <c r="AK4459" i="2" s="1"/>
  <c r="AG4459" i="2"/>
  <c r="AH4459" i="2"/>
  <c r="AI4459" i="2"/>
  <c r="AJ4459" i="2"/>
  <c r="AF4460" i="2"/>
  <c r="AK4460" i="2"/>
  <c r="AG4460" i="2"/>
  <c r="AH4460" i="2"/>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J4467" i="2"/>
  <c r="AL4467" i="2" s="1"/>
  <c r="AF4468" i="2"/>
  <c r="AK4468" i="2"/>
  <c r="AL4468" i="2" s="1"/>
  <c r="AG4468" i="2"/>
  <c r="AH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c r="AG4472" i="2"/>
  <c r="AL4472" i="2" s="1"/>
  <c r="AH4472" i="2"/>
  <c r="AI4472" i="2"/>
  <c r="AJ4472" i="2"/>
  <c r="AF4473" i="2"/>
  <c r="AK4473" i="2" s="1"/>
  <c r="AG4473" i="2"/>
  <c r="AH4473" i="2"/>
  <c r="AI4473" i="2"/>
  <c r="AJ4473" i="2"/>
  <c r="AF4474" i="2"/>
  <c r="AK4474" i="2"/>
  <c r="AG4474" i="2"/>
  <c r="AH4474" i="2"/>
  <c r="AL4474" i="2" s="1"/>
  <c r="AI4474" i="2"/>
  <c r="AJ4474" i="2"/>
  <c r="AF4475" i="2"/>
  <c r="AK4475" i="2" s="1"/>
  <c r="AG4475" i="2"/>
  <c r="AL4475" i="2" s="1"/>
  <c r="AH4475" i="2"/>
  <c r="AI4475" i="2"/>
  <c r="AJ4475" i="2"/>
  <c r="AF4476" i="2"/>
  <c r="AK4476" i="2"/>
  <c r="AL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c r="AG4480" i="2"/>
  <c r="AH4480" i="2"/>
  <c r="AL4480" i="2" s="1"/>
  <c r="AI4480" i="2"/>
  <c r="AJ4480" i="2"/>
  <c r="AF4481" i="2"/>
  <c r="AK4481" i="2" s="1"/>
  <c r="AG4481" i="2"/>
  <c r="AH4481" i="2"/>
  <c r="AI4481" i="2"/>
  <c r="AJ4481" i="2"/>
  <c r="AF4482" i="2"/>
  <c r="AK4482" i="2" s="1"/>
  <c r="AG4482" i="2"/>
  <c r="AH4482" i="2"/>
  <c r="AI4482" i="2"/>
  <c r="AJ4482" i="2"/>
  <c r="AF4483" i="2"/>
  <c r="AK4483" i="2"/>
  <c r="AG4483" i="2"/>
  <c r="AH4483" i="2"/>
  <c r="AL4483" i="2" s="1"/>
  <c r="AI4483" i="2"/>
  <c r="AJ4483" i="2"/>
  <c r="AF4484" i="2"/>
  <c r="AK4484" i="2"/>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c r="AG4488" i="2"/>
  <c r="AH4488" i="2"/>
  <c r="AL4488" i="2" s="1"/>
  <c r="AI4488" i="2"/>
  <c r="AJ4488" i="2"/>
  <c r="AF4489" i="2"/>
  <c r="AK4489" i="2"/>
  <c r="AG4489" i="2"/>
  <c r="AH4489" i="2"/>
  <c r="AI4489" i="2"/>
  <c r="AJ4489" i="2"/>
  <c r="AF4490" i="2"/>
  <c r="AK4490" i="2"/>
  <c r="AG4490" i="2"/>
  <c r="AH4490" i="2"/>
  <c r="AL4490" i="2" s="1"/>
  <c r="AI4490" i="2"/>
  <c r="AJ4490" i="2"/>
  <c r="AF4491" i="2"/>
  <c r="AK4491" i="2" s="1"/>
  <c r="AG4491" i="2"/>
  <c r="AL4491" i="2" s="1"/>
  <c r="AH4491" i="2"/>
  <c r="AI4491" i="2"/>
  <c r="AJ4491" i="2"/>
  <c r="AF4492" i="2"/>
  <c r="AK4492" i="2"/>
  <c r="AG4492" i="2"/>
  <c r="AH4492" i="2"/>
  <c r="AI4492" i="2"/>
  <c r="AJ4492" i="2"/>
  <c r="AF4493" i="2"/>
  <c r="AK4493" i="2" s="1"/>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L4497" i="2" s="1"/>
  <c r="AG4497" i="2"/>
  <c r="AH4497" i="2"/>
  <c r="AI4497" i="2"/>
  <c r="AJ4497" i="2"/>
  <c r="AF4498" i="2"/>
  <c r="AK4498" i="2" s="1"/>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c r="AG4506" i="2"/>
  <c r="AH4506" i="2"/>
  <c r="AI4506" i="2"/>
  <c r="AJ4506" i="2"/>
  <c r="AF4507" i="2"/>
  <c r="AK4507" i="2"/>
  <c r="AL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I4510" i="2"/>
  <c r="AL4510" i="2" s="1"/>
  <c r="AJ4510" i="2"/>
  <c r="AF4511" i="2"/>
  <c r="AK4511" i="2" s="1"/>
  <c r="AG4511" i="2"/>
  <c r="AL4511" i="2" s="1"/>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c r="AG4523" i="2"/>
  <c r="AH4523" i="2"/>
  <c r="AL4523" i="2" s="1"/>
  <c r="AI4523" i="2"/>
  <c r="AJ4523" i="2"/>
  <c r="AF4524" i="2"/>
  <c r="AK4524" i="2" s="1"/>
  <c r="AG4524" i="2"/>
  <c r="AL4524" i="2" s="1"/>
  <c r="AH4524" i="2"/>
  <c r="AI4524" i="2"/>
  <c r="AJ4524" i="2"/>
  <c r="AF4525" i="2"/>
  <c r="AK4525" i="2"/>
  <c r="AG4525" i="2"/>
  <c r="AH4525" i="2"/>
  <c r="AI4525" i="2"/>
  <c r="AJ4525" i="2"/>
  <c r="AF4526" i="2"/>
  <c r="AK4526" i="2"/>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s="1"/>
  <c r="AG4532" i="2"/>
  <c r="AH4532" i="2"/>
  <c r="AI4532" i="2"/>
  <c r="AJ4532" i="2"/>
  <c r="AL4532" i="2" s="1"/>
  <c r="AF4533" i="2"/>
  <c r="AK4533" i="2"/>
  <c r="AG4533" i="2"/>
  <c r="AH4533" i="2"/>
  <c r="AI4533" i="2"/>
  <c r="AJ4533" i="2"/>
  <c r="AF4534" i="2"/>
  <c r="AK4534" i="2"/>
  <c r="AL4534" i="2" s="1"/>
  <c r="AG4534" i="2"/>
  <c r="AH4534" i="2"/>
  <c r="AI4534" i="2"/>
  <c r="AJ4534" i="2"/>
  <c r="AF4535" i="2"/>
  <c r="AK4535" i="2" s="1"/>
  <c r="AG4535" i="2"/>
  <c r="AL4535" i="2" s="1"/>
  <c r="AH4535" i="2"/>
  <c r="AI4535" i="2"/>
  <c r="AJ4535" i="2"/>
  <c r="AF4536" i="2"/>
  <c r="AK4536" i="2"/>
  <c r="AG4536" i="2"/>
  <c r="AH4536" i="2"/>
  <c r="AL4536" i="2" s="1"/>
  <c r="AI4536" i="2"/>
  <c r="AJ4536" i="2"/>
  <c r="AF4537" i="2"/>
  <c r="AK4537" i="2"/>
  <c r="AG4537" i="2"/>
  <c r="AH4537" i="2"/>
  <c r="AI4537" i="2"/>
  <c r="AJ4537" i="2"/>
  <c r="AF4538" i="2"/>
  <c r="AK4538" i="2" s="1"/>
  <c r="AG4538" i="2"/>
  <c r="AH4538" i="2"/>
  <c r="AL4538" i="2" s="1"/>
  <c r="AI4538" i="2"/>
  <c r="AJ4538" i="2"/>
  <c r="AF4539" i="2"/>
  <c r="AK4539" i="2"/>
  <c r="AG4539" i="2"/>
  <c r="AH4539" i="2"/>
  <c r="AL4539" i="2" s="1"/>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s="1"/>
  <c r="AG4561" i="2"/>
  <c r="AL4561" i="2" s="1"/>
  <c r="AH4561" i="2"/>
  <c r="AI4561" i="2"/>
  <c r="AJ4561" i="2"/>
  <c r="AF4562" i="2"/>
  <c r="AK4562" i="2" s="1"/>
  <c r="AL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s="1"/>
  <c r="AL4567" i="2" s="1"/>
  <c r="AG4567" i="2"/>
  <c r="AH4567" i="2"/>
  <c r="AI4567" i="2"/>
  <c r="AJ4567" i="2"/>
  <c r="AF4568" i="2"/>
  <c r="AK4568" i="2"/>
  <c r="AG4568" i="2"/>
  <c r="AH4568" i="2"/>
  <c r="AL4568" i="2" s="1"/>
  <c r="AI4568" i="2"/>
  <c r="AJ4568" i="2"/>
  <c r="AF4569" i="2"/>
  <c r="AK4569" i="2"/>
  <c r="AG4569" i="2"/>
  <c r="AH4569" i="2"/>
  <c r="AI4569" i="2"/>
  <c r="AJ4569" i="2"/>
  <c r="AF4570" i="2"/>
  <c r="AK4570" i="2" s="1"/>
  <c r="AG4570" i="2"/>
  <c r="AH4570" i="2"/>
  <c r="AL4570" i="2" s="1"/>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L4589" i="2" s="1"/>
  <c r="AG4589" i="2"/>
  <c r="AH4589" i="2"/>
  <c r="AI4589" i="2"/>
  <c r="AJ4589" i="2"/>
  <c r="AF4590" i="2"/>
  <c r="AK4590" i="2"/>
  <c r="AL4590" i="2" s="1"/>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F4594" i="2"/>
  <c r="AK4594" i="2"/>
  <c r="AG4594" i="2"/>
  <c r="AH4594" i="2"/>
  <c r="AI4594" i="2"/>
  <c r="AJ4594" i="2"/>
  <c r="AF4595" i="2"/>
  <c r="AK4595" i="2"/>
  <c r="AG4595" i="2"/>
  <c r="AH4595" i="2"/>
  <c r="AI4595" i="2"/>
  <c r="AJ4595" i="2"/>
  <c r="AF4596" i="2"/>
  <c r="AK4596" i="2" s="1"/>
  <c r="AG4596" i="2"/>
  <c r="AL4596" i="2" s="1"/>
  <c r="AH4596" i="2"/>
  <c r="AI4596" i="2"/>
  <c r="AJ4596" i="2"/>
  <c r="AF4597" i="2"/>
  <c r="AK4597" i="2" s="1"/>
  <c r="AG4597" i="2"/>
  <c r="AH4597" i="2"/>
  <c r="AI4597" i="2"/>
  <c r="AJ4597" i="2"/>
  <c r="AF4598" i="2"/>
  <c r="AK4598" i="2"/>
  <c r="AG4598" i="2"/>
  <c r="AH4598" i="2"/>
  <c r="AI4598" i="2"/>
  <c r="AL4598" i="2"/>
  <c r="AJ4598" i="2"/>
  <c r="AF4599" i="2"/>
  <c r="AK4599" i="2" s="1"/>
  <c r="AG4599" i="2"/>
  <c r="AH4599" i="2"/>
  <c r="AI4599" i="2"/>
  <c r="AJ4599" i="2"/>
  <c r="AF4600" i="2"/>
  <c r="AK4600" i="2" s="1"/>
  <c r="AL4600" i="2" s="1"/>
  <c r="AG4600" i="2"/>
  <c r="AH4600" i="2"/>
  <c r="AI4600" i="2"/>
  <c r="AJ4600" i="2"/>
  <c r="AF4601" i="2"/>
  <c r="AK4601" i="2"/>
  <c r="AG4601" i="2"/>
  <c r="AH4601" i="2"/>
  <c r="AI4601" i="2"/>
  <c r="AJ4601" i="2"/>
  <c r="AF4602" i="2"/>
  <c r="AK4602" i="2" s="1"/>
  <c r="AG4602" i="2"/>
  <c r="AL4602" i="2"/>
  <c r="AH4602" i="2"/>
  <c r="AI4602" i="2"/>
  <c r="AJ4602" i="2"/>
  <c r="AF4603" i="2"/>
  <c r="AK4603" i="2"/>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s="1"/>
  <c r="AG4607" i="2"/>
  <c r="AH4607" i="2"/>
  <c r="AI4607" i="2"/>
  <c r="AJ4607" i="2"/>
  <c r="AF4608" i="2"/>
  <c r="AK4608" i="2" s="1"/>
  <c r="AG4608" i="2"/>
  <c r="AH4608" i="2"/>
  <c r="AL4608" i="2" s="1"/>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c r="AL4612" i="2" s="1"/>
  <c r="AG4612" i="2"/>
  <c r="AH4612" i="2"/>
  <c r="AI4612" i="2"/>
  <c r="AJ4612" i="2"/>
  <c r="AF4613" i="2"/>
  <c r="AK4613" i="2" s="1"/>
  <c r="AG4613" i="2"/>
  <c r="AL4613" i="2" s="1"/>
  <c r="AH4613" i="2"/>
  <c r="AI4613" i="2"/>
  <c r="AJ4613" i="2"/>
  <c r="AF4614" i="2"/>
  <c r="AK4614" i="2"/>
  <c r="AG4614" i="2"/>
  <c r="AH4614" i="2"/>
  <c r="AI4614" i="2"/>
  <c r="AJ4614" i="2"/>
  <c r="AF4615" i="2"/>
  <c r="AK4615" i="2"/>
  <c r="AG4615" i="2"/>
  <c r="AH4615" i="2"/>
  <c r="AI4615" i="2"/>
  <c r="AJ4615" i="2"/>
  <c r="AF4616" i="2"/>
  <c r="AK4616" i="2"/>
  <c r="AG4616" i="2"/>
  <c r="AH4616" i="2"/>
  <c r="AL4616" i="2" s="1"/>
  <c r="AI4616" i="2"/>
  <c r="AJ4616" i="2"/>
  <c r="AF4617" i="2"/>
  <c r="AK4617" i="2" s="1"/>
  <c r="AG4617" i="2"/>
  <c r="AH4617" i="2"/>
  <c r="AI4617" i="2"/>
  <c r="AJ4617" i="2"/>
  <c r="AF4618" i="2"/>
  <c r="AK4618" i="2" s="1"/>
  <c r="AG4618" i="2"/>
  <c r="AH4618" i="2"/>
  <c r="AL4618" i="2"/>
  <c r="AI4618" i="2"/>
  <c r="AJ4618" i="2"/>
  <c r="AF4619" i="2"/>
  <c r="AK4619" i="2" s="1"/>
  <c r="AG4619" i="2"/>
  <c r="AH4619" i="2"/>
  <c r="AI4619" i="2"/>
  <c r="AJ4619" i="2"/>
  <c r="AF4620" i="2"/>
  <c r="AK4620" i="2"/>
  <c r="AG4620" i="2"/>
  <c r="AH4620" i="2"/>
  <c r="AI4620" i="2"/>
  <c r="AJ4620" i="2"/>
  <c r="AF4621" i="2"/>
  <c r="AK4621" i="2" s="1"/>
  <c r="AG4621" i="2"/>
  <c r="AH4621" i="2"/>
  <c r="AL4621" i="2" s="1"/>
  <c r="AI4621" i="2"/>
  <c r="AJ4621" i="2"/>
  <c r="AF4622" i="2"/>
  <c r="AK4622" i="2"/>
  <c r="AG4622" i="2"/>
  <c r="AH4622" i="2"/>
  <c r="AI4622" i="2"/>
  <c r="AJ4622" i="2"/>
  <c r="AF4623" i="2"/>
  <c r="AK4623" i="2" s="1"/>
  <c r="AG4623" i="2"/>
  <c r="AH4623" i="2"/>
  <c r="AI4623" i="2"/>
  <c r="AJ4623" i="2"/>
  <c r="AF4624" i="2"/>
  <c r="AK4624" i="2" s="1"/>
  <c r="AG4624" i="2"/>
  <c r="AH4624" i="2"/>
  <c r="AI4624" i="2"/>
  <c r="AJ4624" i="2"/>
  <c r="AF4625" i="2"/>
  <c r="AK4625" i="2"/>
  <c r="AG4625" i="2"/>
  <c r="AH4625" i="2"/>
  <c r="AI4625" i="2"/>
  <c r="AJ4625" i="2"/>
  <c r="AF4626" i="2"/>
  <c r="AK4626" i="2"/>
  <c r="AG4626" i="2"/>
  <c r="AL4626" i="2" s="1"/>
  <c r="AH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s="1"/>
  <c r="AG4630" i="2"/>
  <c r="AL4630" i="2" s="1"/>
  <c r="AH4630" i="2"/>
  <c r="AI4630" i="2"/>
  <c r="AJ4630" i="2"/>
  <c r="AF4631" i="2"/>
  <c r="AK4631" i="2"/>
  <c r="AG4631" i="2"/>
  <c r="AL4631" i="2"/>
  <c r="AH4631" i="2"/>
  <c r="AI4631" i="2"/>
  <c r="AJ4631" i="2"/>
  <c r="AF4632" i="2"/>
  <c r="AK4632" i="2"/>
  <c r="AG4632" i="2"/>
  <c r="AH4632" i="2"/>
  <c r="AI4632" i="2"/>
  <c r="AJ4632" i="2"/>
  <c r="AF4633" i="2"/>
  <c r="AK4633" i="2" s="1"/>
  <c r="AG4633" i="2"/>
  <c r="AH4633" i="2"/>
  <c r="AI4633" i="2"/>
  <c r="AJ4633" i="2"/>
  <c r="AF4634" i="2"/>
  <c r="AK4634" i="2" s="1"/>
  <c r="AG4634" i="2"/>
  <c r="AL4634" i="2" s="1"/>
  <c r="AH4634" i="2"/>
  <c r="AI4634" i="2"/>
  <c r="AJ4634" i="2"/>
  <c r="AF4635" i="2"/>
  <c r="AK4635" i="2"/>
  <c r="AG4635" i="2"/>
  <c r="AH4635" i="2"/>
  <c r="AI4635" i="2"/>
  <c r="AJ4635" i="2"/>
  <c r="AF4636" i="2"/>
  <c r="AK4636" i="2"/>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G4640" i="2"/>
  <c r="AH4640" i="2"/>
  <c r="AI4640" i="2"/>
  <c r="AJ4640" i="2"/>
  <c r="AF4641" i="2"/>
  <c r="AK4641" i="2" s="1"/>
  <c r="AL4641" i="2"/>
  <c r="AG4641" i="2"/>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F4650" i="2"/>
  <c r="AK4650" i="2" s="1"/>
  <c r="AG4650" i="2"/>
  <c r="AH4650" i="2"/>
  <c r="AI4650" i="2"/>
  <c r="AJ4650" i="2"/>
  <c r="AF4651" i="2"/>
  <c r="AK4651" i="2" s="1"/>
  <c r="AG4651" i="2"/>
  <c r="AH4651" i="2"/>
  <c r="AL4651" i="2" s="1"/>
  <c r="AI4651" i="2"/>
  <c r="AJ4651" i="2"/>
  <c r="AF4652" i="2"/>
  <c r="AK4652" i="2"/>
  <c r="AL4652" i="2" s="1"/>
  <c r="AG4652" i="2"/>
  <c r="AH4652" i="2"/>
  <c r="AI4652" i="2"/>
  <c r="AJ4652" i="2"/>
  <c r="AF4653" i="2"/>
  <c r="AK4653" i="2"/>
  <c r="AG4653" i="2"/>
  <c r="AL4653" i="2" s="1"/>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F4662" i="2"/>
  <c r="AK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G4673" i="2"/>
  <c r="AH4673" i="2"/>
  <c r="AI4673" i="2"/>
  <c r="AJ4673" i="2"/>
  <c r="AF4674" i="2"/>
  <c r="AK4674" i="2"/>
  <c r="AG4674" i="2"/>
  <c r="AH4674" i="2"/>
  <c r="AL4674" i="2" s="1"/>
  <c r="AI4674" i="2"/>
  <c r="AJ4674" i="2"/>
  <c r="AF4675" i="2"/>
  <c r="AK4675" i="2" s="1"/>
  <c r="AG4675" i="2"/>
  <c r="AH4675" i="2"/>
  <c r="AI4675" i="2"/>
  <c r="AJ4675" i="2"/>
  <c r="AF4676" i="2"/>
  <c r="AK4676" i="2" s="1"/>
  <c r="AG4676" i="2"/>
  <c r="AL4676" i="2" s="1"/>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c r="AG4682" i="2"/>
  <c r="AL4682" i="2" s="1"/>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s="1"/>
  <c r="AG4689" i="2"/>
  <c r="AH4689" i="2"/>
  <c r="AI4689" i="2"/>
  <c r="AJ4689" i="2"/>
  <c r="AF4690" i="2"/>
  <c r="AK4690" i="2" s="1"/>
  <c r="AG4690" i="2"/>
  <c r="AL4690" i="2" s="1"/>
  <c r="AH4690" i="2"/>
  <c r="AI4690" i="2"/>
  <c r="AJ4690" i="2"/>
  <c r="AF4691" i="2"/>
  <c r="AK4691" i="2" s="1"/>
  <c r="AG4691" i="2"/>
  <c r="AL4691" i="2" s="1"/>
  <c r="AH4691" i="2"/>
  <c r="AI4691" i="2"/>
  <c r="AJ4691" i="2"/>
  <c r="AF4692" i="2"/>
  <c r="AK4692" i="2"/>
  <c r="AG4692" i="2"/>
  <c r="AH4692" i="2"/>
  <c r="AI4692" i="2"/>
  <c r="AJ4692" i="2"/>
  <c r="AF4693" i="2"/>
  <c r="AG4693" i="2"/>
  <c r="AH4693" i="2"/>
  <c r="AI4693" i="2"/>
  <c r="AJ4693" i="2"/>
  <c r="AK4693" i="2"/>
  <c r="AF4694" i="2"/>
  <c r="AK4694" i="2"/>
  <c r="AG4694" i="2"/>
  <c r="AH4694" i="2"/>
  <c r="AI4694" i="2"/>
  <c r="AJ4694" i="2"/>
  <c r="AF4695" i="2"/>
  <c r="AK4695" i="2" s="1"/>
  <c r="AG4695" i="2"/>
  <c r="AH4695" i="2"/>
  <c r="AI4695" i="2"/>
  <c r="AJ4695" i="2"/>
  <c r="AF4696" i="2"/>
  <c r="AK4696" i="2" s="1"/>
  <c r="AG4696" i="2"/>
  <c r="AH4696" i="2"/>
  <c r="AL4696" i="2" s="1"/>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L4701" i="2" s="1"/>
  <c r="AH4701" i="2"/>
  <c r="AI4701" i="2"/>
  <c r="AJ4701" i="2"/>
  <c r="AF4702" i="2"/>
  <c r="AK4702" i="2" s="1"/>
  <c r="AG4702" i="2"/>
  <c r="AH4702" i="2"/>
  <c r="AI4702" i="2"/>
  <c r="AJ4702" i="2"/>
  <c r="AF4703" i="2"/>
  <c r="AK4703" i="2"/>
  <c r="AG4703" i="2"/>
  <c r="AH4703" i="2"/>
  <c r="AI4703" i="2"/>
  <c r="AJ4703" i="2"/>
  <c r="AL4703" i="2" s="1"/>
  <c r="AF4704" i="2"/>
  <c r="AK4704" i="2" s="1"/>
  <c r="AG4704" i="2"/>
  <c r="AH4704" i="2"/>
  <c r="AI4704" i="2"/>
  <c r="AJ4704" i="2"/>
  <c r="AF4705" i="2"/>
  <c r="AK4705" i="2"/>
  <c r="AG4705" i="2"/>
  <c r="AH4705" i="2"/>
  <c r="AI4705" i="2"/>
  <c r="AJ4705" i="2"/>
  <c r="AF4706" i="2"/>
  <c r="AK4706" i="2"/>
  <c r="AG4706" i="2"/>
  <c r="AH4706" i="2"/>
  <c r="AI4706" i="2"/>
  <c r="AJ4706" i="2"/>
  <c r="AF4707" i="2"/>
  <c r="AK4707" i="2" s="1"/>
  <c r="AG4707" i="2"/>
  <c r="AH4707" i="2"/>
  <c r="AI4707" i="2"/>
  <c r="AJ4707" i="2"/>
  <c r="AF4708" i="2"/>
  <c r="AK4708" i="2" s="1"/>
  <c r="AG4708" i="2"/>
  <c r="AH4708" i="2"/>
  <c r="AI4708" i="2"/>
  <c r="AL4708" i="2" s="1"/>
  <c r="AJ4708" i="2"/>
  <c r="AF4709" i="2"/>
  <c r="AK4709" i="2"/>
  <c r="AG4709" i="2"/>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c r="AG4713" i="2"/>
  <c r="AL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F4720" i="2"/>
  <c r="AK4720" i="2" s="1"/>
  <c r="AL4720" i="2" s="1"/>
  <c r="AG4720" i="2"/>
  <c r="AH4720" i="2"/>
  <c r="AI4720" i="2"/>
  <c r="AJ4720" i="2"/>
  <c r="AF4721" i="2"/>
  <c r="AK4721" i="2"/>
  <c r="AG4721" i="2"/>
  <c r="AL4721" i="2" s="1"/>
  <c r="AH4721" i="2"/>
  <c r="AI4721" i="2"/>
  <c r="AJ4721" i="2"/>
  <c r="AF4722" i="2"/>
  <c r="AK4722" i="2" s="1"/>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s="1"/>
  <c r="AG4726" i="2"/>
  <c r="AH4726" i="2"/>
  <c r="AI4726" i="2"/>
  <c r="AJ4726" i="2"/>
  <c r="AF4727" i="2"/>
  <c r="AK4727" i="2"/>
  <c r="AG4727" i="2"/>
  <c r="AL4727" i="2" s="1"/>
  <c r="AH4727" i="2"/>
  <c r="AI4727" i="2"/>
  <c r="AJ4727" i="2"/>
  <c r="AF4728" i="2"/>
  <c r="AK4728" i="2" s="1"/>
  <c r="AG4728" i="2"/>
  <c r="AH4728" i="2"/>
  <c r="AI4728" i="2"/>
  <c r="AJ4728" i="2"/>
  <c r="AL4728" i="2" s="1"/>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s="1"/>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L4740" i="2" s="1"/>
  <c r="AG4740" i="2"/>
  <c r="AH4740" i="2"/>
  <c r="AI4740" i="2"/>
  <c r="AJ4740" i="2"/>
  <c r="AF4741" i="2"/>
  <c r="AK4741" i="2"/>
  <c r="AG4741" i="2"/>
  <c r="AL4741" i="2" s="1"/>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s="1"/>
  <c r="AG4748" i="2"/>
  <c r="AH4748" i="2"/>
  <c r="AI4748" i="2"/>
  <c r="AJ4748" i="2"/>
  <c r="AF4749" i="2"/>
  <c r="AK4749" i="2"/>
  <c r="AG4749" i="2"/>
  <c r="AL4749" i="2" s="1"/>
  <c r="AH4749" i="2"/>
  <c r="AI4749" i="2"/>
  <c r="AJ4749" i="2"/>
  <c r="AF4750" i="2"/>
  <c r="AK4750" i="2"/>
  <c r="AG4750" i="2"/>
  <c r="AH4750" i="2"/>
  <c r="AI4750" i="2"/>
  <c r="AJ4750" i="2"/>
  <c r="AF4751" i="2"/>
  <c r="AK4751" i="2" s="1"/>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L4763" i="2" s="1"/>
  <c r="AJ4763" i="2"/>
  <c r="AF4764" i="2"/>
  <c r="AK4764" i="2" s="1"/>
  <c r="AG4764" i="2"/>
  <c r="AL4764" i="2" s="1"/>
  <c r="AH4764" i="2"/>
  <c r="AI4764" i="2"/>
  <c r="AJ4764" i="2"/>
  <c r="AF4765" i="2"/>
  <c r="AK4765" i="2" s="1"/>
  <c r="AL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s="1"/>
  <c r="AG4769" i="2"/>
  <c r="AL4769" i="2" s="1"/>
  <c r="AH4769" i="2"/>
  <c r="AI4769" i="2"/>
  <c r="AJ4769" i="2"/>
  <c r="AF4770" i="2"/>
  <c r="AK4770" i="2"/>
  <c r="AG4770" i="2"/>
  <c r="AH4770" i="2"/>
  <c r="AI4770" i="2"/>
  <c r="AJ4770" i="2"/>
  <c r="AF4771" i="2"/>
  <c r="AK4771" i="2" s="1"/>
  <c r="AG4771" i="2"/>
  <c r="AH4771" i="2"/>
  <c r="AI4771" i="2"/>
  <c r="AJ4771" i="2"/>
  <c r="AF4772" i="2"/>
  <c r="AK4772" i="2"/>
  <c r="AG4772" i="2"/>
  <c r="AL4772" i="2" s="1"/>
  <c r="AH4772" i="2"/>
  <c r="AI4772" i="2"/>
  <c r="AJ4772" i="2"/>
  <c r="AF4773" i="2"/>
  <c r="AK4773" i="2" s="1"/>
  <c r="AG4773" i="2"/>
  <c r="AL4773" i="2" s="1"/>
  <c r="AH4773" i="2"/>
  <c r="AI4773" i="2"/>
  <c r="AJ4773" i="2"/>
  <c r="AF4774" i="2"/>
  <c r="AK4774" i="2" s="1"/>
  <c r="AG4774" i="2"/>
  <c r="AH4774" i="2"/>
  <c r="AI4774" i="2"/>
  <c r="AL4774" i="2" s="1"/>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c r="AG4779" i="2"/>
  <c r="AH4779" i="2"/>
  <c r="AI4779" i="2"/>
  <c r="AJ4779" i="2"/>
  <c r="AF4780" i="2"/>
  <c r="AK4780" i="2" s="1"/>
  <c r="AG4780" i="2"/>
  <c r="AH4780" i="2"/>
  <c r="AI4780" i="2"/>
  <c r="AJ4780" i="2"/>
  <c r="AF4781" i="2"/>
  <c r="AK4781" i="2" s="1"/>
  <c r="AG4781" i="2"/>
  <c r="AL4781" i="2" s="1"/>
  <c r="AH4781" i="2"/>
  <c r="AI4781" i="2"/>
  <c r="AJ4781" i="2"/>
  <c r="AF4782" i="2"/>
  <c r="AK4782" i="2" s="1"/>
  <c r="AG4782" i="2"/>
  <c r="AL4782" i="2" s="1"/>
  <c r="AH4782" i="2"/>
  <c r="AI4782" i="2"/>
  <c r="AJ4782" i="2"/>
  <c r="AF4783" i="2"/>
  <c r="AK4783" i="2"/>
  <c r="AG4783" i="2"/>
  <c r="AL4783" i="2" s="1"/>
  <c r="AH4783" i="2"/>
  <c r="AI4783" i="2"/>
  <c r="AJ4783" i="2"/>
  <c r="AF4784" i="2"/>
  <c r="AK4784" i="2"/>
  <c r="AG4784" i="2"/>
  <c r="AL4784" i="2" s="1"/>
  <c r="AH4784" i="2"/>
  <c r="AI4784" i="2"/>
  <c r="AJ4784" i="2"/>
  <c r="AF4785" i="2"/>
  <c r="AK4785" i="2"/>
  <c r="AG4785" i="2"/>
  <c r="AH4785" i="2"/>
  <c r="AL4785" i="2" s="1"/>
  <c r="AI4785" i="2"/>
  <c r="AJ4785" i="2"/>
  <c r="AF4786" i="2"/>
  <c r="AK4786" i="2" s="1"/>
  <c r="AG4786" i="2"/>
  <c r="AH4786" i="2"/>
  <c r="AI4786" i="2"/>
  <c r="AJ4786" i="2"/>
  <c r="AF4787" i="2"/>
  <c r="AK4787" i="2" s="1"/>
  <c r="AG4787" i="2"/>
  <c r="AH4787" i="2"/>
  <c r="AI4787" i="2"/>
  <c r="AJ4787" i="2"/>
  <c r="AF4788" i="2"/>
  <c r="AK4788" i="2" s="1"/>
  <c r="AG4788" i="2"/>
  <c r="AH4788" i="2"/>
  <c r="AI4788" i="2"/>
  <c r="AJ4788" i="2"/>
  <c r="AF4789" i="2"/>
  <c r="AK4789" i="2"/>
  <c r="AG4789" i="2"/>
  <c r="AH4789" i="2"/>
  <c r="AI4789" i="2"/>
  <c r="AJ4789" i="2"/>
  <c r="AF4790" i="2"/>
  <c r="AK4790" i="2"/>
  <c r="AG4790" i="2"/>
  <c r="AL4790" i="2"/>
  <c r="AH4790" i="2"/>
  <c r="AI4790" i="2"/>
  <c r="AJ4790" i="2"/>
  <c r="AF4791" i="2"/>
  <c r="AK4791" i="2" s="1"/>
  <c r="AG4791" i="2"/>
  <c r="AH4791" i="2"/>
  <c r="AI4791" i="2"/>
  <c r="AJ4791" i="2"/>
  <c r="AF4792" i="2"/>
  <c r="AK4792" i="2" s="1"/>
  <c r="AG4792" i="2"/>
  <c r="AL4792" i="2" s="1"/>
  <c r="AH4792" i="2"/>
  <c r="AI4792" i="2"/>
  <c r="AJ4792" i="2"/>
  <c r="AF4793" i="2"/>
  <c r="AK4793" i="2"/>
  <c r="AG4793" i="2"/>
  <c r="AH4793" i="2"/>
  <c r="AI4793" i="2"/>
  <c r="AL4793" i="2" s="1"/>
  <c r="AJ4793" i="2"/>
  <c r="AF4794" i="2"/>
  <c r="AK4794" i="2" s="1"/>
  <c r="AG4794" i="2"/>
  <c r="AH4794" i="2"/>
  <c r="AI4794" i="2"/>
  <c r="AJ4794" i="2"/>
  <c r="AF4795" i="2"/>
  <c r="AK4795" i="2"/>
  <c r="AG4795" i="2"/>
  <c r="AH4795" i="2"/>
  <c r="AI4795" i="2"/>
  <c r="AL4795" i="2" s="1"/>
  <c r="AJ4795" i="2"/>
  <c r="AF4796" i="2"/>
  <c r="AK4796" i="2"/>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c r="AG4801" i="2"/>
  <c r="AL4801" i="2" s="1"/>
  <c r="AH4801" i="2"/>
  <c r="AI4801" i="2"/>
  <c r="AJ4801" i="2"/>
  <c r="AF4802" i="2"/>
  <c r="AK4802" i="2" s="1"/>
  <c r="AG4802" i="2"/>
  <c r="AH4802" i="2"/>
  <c r="AI4802" i="2"/>
  <c r="AJ4802" i="2"/>
  <c r="AF4803" i="2"/>
  <c r="AK4803" i="2"/>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G4814" i="2"/>
  <c r="AH4814" i="2"/>
  <c r="AI4814" i="2"/>
  <c r="AJ4814" i="2"/>
  <c r="AF4815" i="2"/>
  <c r="AK4815" i="2" s="1"/>
  <c r="AG4815" i="2"/>
  <c r="AL4815" i="2" s="1"/>
  <c r="AH4815" i="2"/>
  <c r="AI4815" i="2"/>
  <c r="AJ4815" i="2"/>
  <c r="AF4816" i="2"/>
  <c r="AK4816" i="2" s="1"/>
  <c r="AG4816" i="2"/>
  <c r="AH4816" i="2"/>
  <c r="AI4816" i="2"/>
  <c r="AJ4816" i="2"/>
  <c r="AF4817" i="2"/>
  <c r="AK4817" i="2"/>
  <c r="AG4817" i="2"/>
  <c r="AL4817" i="2" s="1"/>
  <c r="AH4817" i="2"/>
  <c r="AI4817" i="2"/>
  <c r="AJ4817" i="2"/>
  <c r="AF4818" i="2"/>
  <c r="AK4818" i="2" s="1"/>
  <c r="AG4818" i="2"/>
  <c r="AH4818" i="2"/>
  <c r="AI4818" i="2"/>
  <c r="AJ4818" i="2"/>
  <c r="AF4819" i="2"/>
  <c r="AK4819" i="2"/>
  <c r="AG4819" i="2"/>
  <c r="AH4819" i="2"/>
  <c r="AI4819" i="2"/>
  <c r="AJ4819" i="2"/>
  <c r="AF4820" i="2"/>
  <c r="AK4820" i="2" s="1"/>
  <c r="AL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c r="AG4826" i="2"/>
  <c r="AH4826" i="2"/>
  <c r="AI4826" i="2"/>
  <c r="AJ4826" i="2"/>
  <c r="AF4827" i="2"/>
  <c r="AK4827" i="2"/>
  <c r="AG4827" i="2"/>
  <c r="AL4827" i="2" s="1"/>
  <c r="AH4827" i="2"/>
  <c r="AI4827" i="2"/>
  <c r="AJ4827" i="2"/>
  <c r="AF4828" i="2"/>
  <c r="AK4828" i="2"/>
  <c r="AG4828" i="2"/>
  <c r="AH4828" i="2"/>
  <c r="AI4828" i="2"/>
  <c r="AJ4828" i="2"/>
  <c r="AF4829" i="2"/>
  <c r="AK4829" i="2" s="1"/>
  <c r="AG4829" i="2"/>
  <c r="AH4829" i="2"/>
  <c r="AI4829" i="2"/>
  <c r="AJ4829" i="2"/>
  <c r="AF4830" i="2"/>
  <c r="AK4830" i="2"/>
  <c r="AG4830" i="2"/>
  <c r="AH4830" i="2"/>
  <c r="AI4830" i="2"/>
  <c r="AJ4830" i="2"/>
  <c r="AF4831" i="2"/>
  <c r="AK4831" i="2" s="1"/>
  <c r="AG4831" i="2"/>
  <c r="AH4831" i="2"/>
  <c r="AI4831" i="2"/>
  <c r="AJ4831" i="2"/>
  <c r="AF4832" i="2"/>
  <c r="AK4832" i="2" s="1"/>
  <c r="AG4832" i="2"/>
  <c r="AH4832" i="2"/>
  <c r="AL4832" i="2" s="1"/>
  <c r="AI4832" i="2"/>
  <c r="AJ4832" i="2"/>
  <c r="AF4833" i="2"/>
  <c r="AK4833" i="2"/>
  <c r="AG4833" i="2"/>
  <c r="AH4833" i="2"/>
  <c r="AI4833" i="2"/>
  <c r="AJ4833" i="2"/>
  <c r="AF4834" i="2"/>
  <c r="AK4834" i="2"/>
  <c r="AL4834" i="2"/>
  <c r="AG4834" i="2"/>
  <c r="AH4834" i="2"/>
  <c r="AI4834" i="2"/>
  <c r="AJ4834" i="2"/>
  <c r="AF4835" i="2"/>
  <c r="AK4835" i="2"/>
  <c r="AG4835" i="2"/>
  <c r="AH4835" i="2"/>
  <c r="AI4835" i="2"/>
  <c r="AJ4835" i="2"/>
  <c r="AF4836" i="2"/>
  <c r="AK4836" i="2" s="1"/>
  <c r="AG4836" i="2"/>
  <c r="AH4836" i="2"/>
  <c r="AI4836" i="2"/>
  <c r="AJ4836" i="2"/>
  <c r="AF4837" i="2"/>
  <c r="AK4837" i="2" s="1"/>
  <c r="AG4837" i="2"/>
  <c r="AH4837" i="2"/>
  <c r="AI4837" i="2"/>
  <c r="AJ4837" i="2"/>
  <c r="AF4838" i="2"/>
  <c r="AK4838" i="2"/>
  <c r="AG4838" i="2"/>
  <c r="AH4838" i="2"/>
  <c r="AI4838" i="2"/>
  <c r="AJ4838" i="2"/>
  <c r="AF4839" i="2"/>
  <c r="AK4839" i="2"/>
  <c r="AG4839" i="2"/>
  <c r="AL4839" i="2" s="1"/>
  <c r="AH4839" i="2"/>
  <c r="AI4839" i="2"/>
  <c r="AJ4839" i="2"/>
  <c r="AF4840" i="2"/>
  <c r="AK4840" i="2"/>
  <c r="AG4840" i="2"/>
  <c r="AH4840" i="2"/>
  <c r="AI4840" i="2"/>
  <c r="AJ4840" i="2"/>
  <c r="AF4841" i="2"/>
  <c r="AK4841" i="2" s="1"/>
  <c r="AG4841" i="2"/>
  <c r="AH4841" i="2"/>
  <c r="AI4841" i="2"/>
  <c r="AL4841" i="2" s="1"/>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G4845" i="2"/>
  <c r="AL4845" i="2" s="1"/>
  <c r="AH4845" i="2"/>
  <c r="AI4845" i="2"/>
  <c r="AJ4845" i="2"/>
  <c r="AF4846" i="2"/>
  <c r="AK4846" i="2"/>
  <c r="AG4846" i="2"/>
  <c r="AH4846" i="2"/>
  <c r="AI4846" i="2"/>
  <c r="AJ4846" i="2"/>
  <c r="AF4847" i="2"/>
  <c r="AK4847" i="2" s="1"/>
  <c r="AL4847" i="2" s="1"/>
  <c r="AG4847" i="2"/>
  <c r="AH4847" i="2"/>
  <c r="AI4847" i="2"/>
  <c r="AJ4847" i="2"/>
  <c r="AF4848" i="2"/>
  <c r="AK4848" i="2" s="1"/>
  <c r="AG4848" i="2"/>
  <c r="AH4848" i="2"/>
  <c r="AI4848" i="2"/>
  <c r="AJ4848" i="2"/>
  <c r="AF4849" i="2"/>
  <c r="AK4849" i="2" s="1"/>
  <c r="AG4849" i="2"/>
  <c r="AH4849" i="2"/>
  <c r="AI4849" i="2"/>
  <c r="AJ4849" i="2"/>
  <c r="AL4849" i="2" s="1"/>
  <c r="AF4850" i="2"/>
  <c r="AK4850" i="2" s="1"/>
  <c r="AL4850" i="2" s="1"/>
  <c r="AG4850" i="2"/>
  <c r="AH4850" i="2"/>
  <c r="AI4850" i="2"/>
  <c r="AJ4850" i="2"/>
  <c r="AF4851" i="2"/>
  <c r="AK4851" i="2"/>
  <c r="AG4851" i="2"/>
  <c r="AL4851" i="2" s="1"/>
  <c r="AH4851" i="2"/>
  <c r="AI4851" i="2"/>
  <c r="AJ4851" i="2"/>
  <c r="AF4852" i="2"/>
  <c r="AK4852" i="2"/>
  <c r="AG4852" i="2"/>
  <c r="AL4852" i="2" s="1"/>
  <c r="AH4852" i="2"/>
  <c r="AI4852" i="2"/>
  <c r="AJ4852" i="2"/>
  <c r="AF4853" i="2"/>
  <c r="AK4853" i="2" s="1"/>
  <c r="AG4853" i="2"/>
  <c r="AH4853" i="2"/>
  <c r="AI4853" i="2"/>
  <c r="AJ4853" i="2"/>
  <c r="AF4854" i="2"/>
  <c r="AK4854" i="2"/>
  <c r="AG4854" i="2"/>
  <c r="AL4854" i="2" s="1"/>
  <c r="AH4854" i="2"/>
  <c r="AI4854" i="2"/>
  <c r="AJ4854" i="2"/>
  <c r="AF4855" i="2"/>
  <c r="AK4855" i="2" s="1"/>
  <c r="AG4855" i="2"/>
  <c r="AL4855" i="2" s="1"/>
  <c r="AH4855" i="2"/>
  <c r="AI4855" i="2"/>
  <c r="AJ4855" i="2"/>
  <c r="AF4856" i="2"/>
  <c r="AK4856" i="2" s="1"/>
  <c r="AG4856" i="2"/>
  <c r="AH4856" i="2"/>
  <c r="AI4856" i="2"/>
  <c r="AJ4856" i="2"/>
  <c r="AF4857" i="2"/>
  <c r="AK4857" i="2"/>
  <c r="AG4857" i="2"/>
  <c r="AL4857" i="2" s="1"/>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c r="AG4864" i="2"/>
  <c r="AL4864" i="2" s="1"/>
  <c r="AH4864" i="2"/>
  <c r="AI4864" i="2"/>
  <c r="AJ4864" i="2"/>
  <c r="AF4865" i="2"/>
  <c r="AK4865" i="2" s="1"/>
  <c r="AG4865" i="2"/>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L4869" i="2" s="1"/>
  <c r="AG4869" i="2"/>
  <c r="AH4869" i="2"/>
  <c r="AI4869" i="2"/>
  <c r="AJ4869" i="2"/>
  <c r="AF4870" i="2"/>
  <c r="AK4870" i="2"/>
  <c r="AL4870" i="2" s="1"/>
  <c r="AG4870" i="2"/>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c r="AG4876" i="2"/>
  <c r="AL4876" i="2"/>
  <c r="AH4876" i="2"/>
  <c r="AI4876" i="2"/>
  <c r="AJ4876" i="2"/>
  <c r="AF4877" i="2"/>
  <c r="AK4877" i="2" s="1"/>
  <c r="AL4877" i="2" s="1"/>
  <c r="AG4877" i="2"/>
  <c r="AH4877" i="2"/>
  <c r="AI4877" i="2"/>
  <c r="AJ4877" i="2"/>
  <c r="AF4878" i="2"/>
  <c r="AK4878" i="2"/>
  <c r="AG4878" i="2"/>
  <c r="AL4878" i="2" s="1"/>
  <c r="AH4878" i="2"/>
  <c r="AI4878" i="2"/>
  <c r="AJ4878" i="2"/>
  <c r="AF4879" i="2"/>
  <c r="AK4879" i="2" s="1"/>
  <c r="AG4879" i="2"/>
  <c r="AH4879" i="2"/>
  <c r="AI4879" i="2"/>
  <c r="AJ4879" i="2"/>
  <c r="AF4880" i="2"/>
  <c r="AK4880" i="2" s="1"/>
  <c r="AG4880" i="2"/>
  <c r="AH4880" i="2"/>
  <c r="AI4880" i="2"/>
  <c r="AJ4880" i="2"/>
  <c r="AF4881" i="2"/>
  <c r="AK4881" i="2"/>
  <c r="AL4881" i="2"/>
  <c r="AG4881" i="2"/>
  <c r="AH4881" i="2"/>
  <c r="AI4881" i="2"/>
  <c r="AJ4881" i="2"/>
  <c r="AF4882" i="2"/>
  <c r="AK4882" i="2"/>
  <c r="AG4882" i="2"/>
  <c r="AL4882" i="2" s="1"/>
  <c r="AH4882" i="2"/>
  <c r="AI4882" i="2"/>
  <c r="AJ4882" i="2"/>
  <c r="AF4883" i="2"/>
  <c r="AK4883" i="2" s="1"/>
  <c r="AG4883" i="2"/>
  <c r="AH4883" i="2"/>
  <c r="AL4883" i="2"/>
  <c r="AI4883" i="2"/>
  <c r="AJ4883" i="2"/>
  <c r="AF4884" i="2"/>
  <c r="AK4884" i="2" s="1"/>
  <c r="AG4884" i="2"/>
  <c r="AH4884" i="2"/>
  <c r="AI4884" i="2"/>
  <c r="AJ4884" i="2"/>
  <c r="AF4885" i="2"/>
  <c r="AK4885" i="2" s="1"/>
  <c r="AG4885" i="2"/>
  <c r="AH4885" i="2"/>
  <c r="AI4885" i="2"/>
  <c r="AJ4885" i="2"/>
  <c r="AF4886" i="2"/>
  <c r="AK4886" i="2"/>
  <c r="AG4886" i="2"/>
  <c r="AH4886" i="2"/>
  <c r="AI4886" i="2"/>
  <c r="AJ4886" i="2"/>
  <c r="AF4887" i="2"/>
  <c r="AK4887" i="2"/>
  <c r="AG4887" i="2"/>
  <c r="AH4887" i="2"/>
  <c r="AI4887" i="2"/>
  <c r="AL4887" i="2" s="1"/>
  <c r="AJ4887" i="2"/>
  <c r="AF4888" i="2"/>
  <c r="AK4888" i="2"/>
  <c r="AG4888" i="2"/>
  <c r="AH4888" i="2"/>
  <c r="AI4888" i="2"/>
  <c r="AJ4888" i="2"/>
  <c r="AL4888" i="2" s="1"/>
  <c r="AF4889" i="2"/>
  <c r="AK4889" i="2" s="1"/>
  <c r="AG4889" i="2"/>
  <c r="AH4889" i="2"/>
  <c r="AI4889" i="2"/>
  <c r="AJ4889" i="2"/>
  <c r="AF4890" i="2"/>
  <c r="AK4890" i="2" s="1"/>
  <c r="AL4890" i="2" s="1"/>
  <c r="AG4890" i="2"/>
  <c r="AH4890" i="2"/>
  <c r="AI4890" i="2"/>
  <c r="AJ4890" i="2"/>
  <c r="AF4891" i="2"/>
  <c r="AK4891" i="2" s="1"/>
  <c r="AG4891" i="2"/>
  <c r="AL4891" i="2" s="1"/>
  <c r="AH4891" i="2"/>
  <c r="AI4891" i="2"/>
  <c r="AJ4891" i="2"/>
  <c r="AF4892" i="2"/>
  <c r="AK4892" i="2" s="1"/>
  <c r="AG4892" i="2"/>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s="1"/>
  <c r="AL4896" i="2" s="1"/>
  <c r="AG4896" i="2"/>
  <c r="AH4896" i="2"/>
  <c r="AI4896" i="2"/>
  <c r="AJ4896" i="2"/>
  <c r="AF4897" i="2"/>
  <c r="AK4897" i="2" s="1"/>
  <c r="AG4897" i="2"/>
  <c r="AH4897" i="2"/>
  <c r="AI4897" i="2"/>
  <c r="AJ4897" i="2"/>
  <c r="AF4898" i="2"/>
  <c r="AK4898" i="2"/>
  <c r="AG4898" i="2"/>
  <c r="AH4898" i="2"/>
  <c r="AI4898" i="2"/>
  <c r="AJ4898" i="2"/>
  <c r="AF4899" i="2"/>
  <c r="AK4899" i="2"/>
  <c r="AG4899" i="2"/>
  <c r="AH4899" i="2"/>
  <c r="AI4899" i="2"/>
  <c r="AJ4899" i="2"/>
  <c r="AF4900" i="2"/>
  <c r="AK4900" i="2"/>
  <c r="AL4900" i="2" s="1"/>
  <c r="AG4900" i="2"/>
  <c r="AH4900" i="2"/>
  <c r="AI4900" i="2"/>
  <c r="AJ4900" i="2"/>
  <c r="AF4901" i="2"/>
  <c r="AK4901" i="2"/>
  <c r="AG4901" i="2"/>
  <c r="AL4901" i="2" s="1"/>
  <c r="AH4901" i="2"/>
  <c r="AI4901" i="2"/>
  <c r="AJ4901" i="2"/>
  <c r="AF4902" i="2"/>
  <c r="AK4902" i="2" s="1"/>
  <c r="AG4902" i="2"/>
  <c r="AL4902" i="2" s="1"/>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c r="AG4906" i="2"/>
  <c r="AH4906" i="2"/>
  <c r="AI4906" i="2"/>
  <c r="AJ4906" i="2"/>
  <c r="AL4906" i="2" s="1"/>
  <c r="AF4907" i="2"/>
  <c r="AK4907" i="2" s="1"/>
  <c r="AG4907" i="2"/>
  <c r="AH4907" i="2"/>
  <c r="AI4907" i="2"/>
  <c r="AL4907" i="2" s="1"/>
  <c r="AJ4907" i="2"/>
  <c r="AF4908" i="2"/>
  <c r="AK4908" i="2"/>
  <c r="AL4908" i="2" s="1"/>
  <c r="AG4908" i="2"/>
  <c r="AH4908" i="2"/>
  <c r="AI4908" i="2"/>
  <c r="AJ4908" i="2"/>
  <c r="AF4909" i="2"/>
  <c r="AK4909" i="2" s="1"/>
  <c r="AG4909" i="2"/>
  <c r="AL4909" i="2" s="1"/>
  <c r="AH4909" i="2"/>
  <c r="AI4909" i="2"/>
  <c r="AJ4909" i="2"/>
  <c r="AF4910" i="2"/>
  <c r="AK4910" i="2"/>
  <c r="AG4910" i="2"/>
  <c r="AH4910" i="2"/>
  <c r="AI4910" i="2"/>
  <c r="AL4910" i="2" s="1"/>
  <c r="AJ4910" i="2"/>
  <c r="AF4911" i="2"/>
  <c r="AK4911" i="2"/>
  <c r="AG4911" i="2"/>
  <c r="AH4911" i="2"/>
  <c r="AI4911" i="2"/>
  <c r="AJ4911" i="2"/>
  <c r="AF4912" i="2"/>
  <c r="AK4912" i="2" s="1"/>
  <c r="AL4912" i="2" s="1"/>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c r="AI4915" i="2"/>
  <c r="AJ4915" i="2"/>
  <c r="AF4916" i="2"/>
  <c r="AK4916" i="2" s="1"/>
  <c r="AL4916" i="2" s="1"/>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c r="AG4922" i="2"/>
  <c r="AH4922" i="2"/>
  <c r="AL4922" i="2" s="1"/>
  <c r="AI4922" i="2"/>
  <c r="AJ4922" i="2"/>
  <c r="AF4923" i="2"/>
  <c r="AK4923" i="2"/>
  <c r="AG4923" i="2"/>
  <c r="AH4923" i="2"/>
  <c r="AI4923" i="2"/>
  <c r="AJ4923" i="2"/>
  <c r="AL4923" i="2" s="1"/>
  <c r="AF4924" i="2"/>
  <c r="AK4924" i="2" s="1"/>
  <c r="AL4924" i="2" s="1"/>
  <c r="AG4924" i="2"/>
  <c r="AH4924" i="2"/>
  <c r="AI4924" i="2"/>
  <c r="AJ4924" i="2"/>
  <c r="AF4925" i="2"/>
  <c r="AK4925" i="2" s="1"/>
  <c r="AL4925" i="2" s="1"/>
  <c r="AG4925" i="2"/>
  <c r="AH4925" i="2"/>
  <c r="AI4925" i="2"/>
  <c r="AJ4925" i="2"/>
  <c r="AF4926" i="2"/>
  <c r="AK4926" i="2"/>
  <c r="AG4926" i="2"/>
  <c r="AL4926" i="2" s="1"/>
  <c r="AH4926" i="2"/>
  <c r="AI4926" i="2"/>
  <c r="AJ4926" i="2"/>
  <c r="AF4927" i="2"/>
  <c r="AK4927" i="2"/>
  <c r="AG4927" i="2"/>
  <c r="AL4927" i="2" s="1"/>
  <c r="AH4927" i="2"/>
  <c r="AI4927" i="2"/>
  <c r="AJ4927" i="2"/>
  <c r="AF4928" i="2"/>
  <c r="AK4928" i="2"/>
  <c r="AG4928" i="2"/>
  <c r="AH4928" i="2"/>
  <c r="AI4928" i="2"/>
  <c r="AL4928" i="2" s="1"/>
  <c r="AJ4928" i="2"/>
  <c r="AF4929" i="2"/>
  <c r="AK4929" i="2" s="1"/>
  <c r="AL4929" i="2" s="1"/>
  <c r="AG4929" i="2"/>
  <c r="AH4929" i="2"/>
  <c r="AI4929" i="2"/>
  <c r="AJ4929" i="2"/>
  <c r="AF4930" i="2"/>
  <c r="AK4930" i="2" s="1"/>
  <c r="AG4930" i="2"/>
  <c r="AH4930" i="2"/>
  <c r="AI4930" i="2"/>
  <c r="AL4930" i="2" s="1"/>
  <c r="AJ4930" i="2"/>
  <c r="AF4931" i="2"/>
  <c r="AK4931" i="2"/>
  <c r="AL4931" i="2" s="1"/>
  <c r="AG4931" i="2"/>
  <c r="AH4931" i="2"/>
  <c r="AI4931" i="2"/>
  <c r="AJ4931" i="2"/>
  <c r="AF4932" i="2"/>
  <c r="AK4932" i="2" s="1"/>
  <c r="AL4932" i="2" s="1"/>
  <c r="AG4932" i="2"/>
  <c r="AH4932" i="2"/>
  <c r="AI4932" i="2"/>
  <c r="AJ4932" i="2"/>
  <c r="AF4933" i="2"/>
  <c r="AK4933" i="2"/>
  <c r="AG4933" i="2"/>
  <c r="AH4933" i="2"/>
  <c r="AI4933" i="2"/>
  <c r="AL4933" i="2" s="1"/>
  <c r="AJ4933" i="2"/>
  <c r="AF4934" i="2"/>
  <c r="AK4934" i="2" s="1"/>
  <c r="AG4934" i="2"/>
  <c r="AH4934" i="2"/>
  <c r="AI4934" i="2"/>
  <c r="AJ4934" i="2"/>
  <c r="AL4934" i="2" s="1"/>
  <c r="AF4935" i="2"/>
  <c r="AK4935" i="2" s="1"/>
  <c r="AL4935" i="2" s="1"/>
  <c r="AG4935" i="2"/>
  <c r="AH4935" i="2"/>
  <c r="AI4935" i="2"/>
  <c r="AJ4935" i="2"/>
  <c r="AF4936" i="2"/>
  <c r="AK4936" i="2"/>
  <c r="AL4936" i="2" s="1"/>
  <c r="AG4936" i="2"/>
  <c r="AH4936" i="2"/>
  <c r="AI4936" i="2"/>
  <c r="AJ4936" i="2"/>
  <c r="AF4937" i="2"/>
  <c r="AK4937" i="2" s="1"/>
  <c r="AG4937" i="2"/>
  <c r="AH4937" i="2"/>
  <c r="AI4937" i="2"/>
  <c r="AJ4937" i="2"/>
  <c r="AF4938" i="2"/>
  <c r="AK4938" i="2"/>
  <c r="AG4938" i="2"/>
  <c r="AH4938" i="2"/>
  <c r="AI4938" i="2"/>
  <c r="AJ4938" i="2"/>
  <c r="AL4938" i="2" s="1"/>
  <c r="AF4939" i="2"/>
  <c r="AK4939" i="2" s="1"/>
  <c r="AL4939" i="2" s="1"/>
  <c r="AG4939" i="2"/>
  <c r="AH4939" i="2"/>
  <c r="AI4939" i="2"/>
  <c r="AJ4939" i="2"/>
  <c r="AF4940" i="2"/>
  <c r="AK4940" i="2"/>
  <c r="AG4940" i="2"/>
  <c r="AL4940" i="2" s="1"/>
  <c r="AH4940" i="2"/>
  <c r="AI4940" i="2"/>
  <c r="AJ4940" i="2"/>
  <c r="AF4941" i="2"/>
  <c r="AK4941" i="2"/>
  <c r="AG4941" i="2"/>
  <c r="AL4941" i="2" s="1"/>
  <c r="AH4941" i="2"/>
  <c r="AI4941" i="2"/>
  <c r="AJ4941" i="2"/>
  <c r="AF4942" i="2"/>
  <c r="AK4942" i="2" s="1"/>
  <c r="AL4942" i="2" s="1"/>
  <c r="AG4942" i="2"/>
  <c r="AH4942" i="2"/>
  <c r="AI4942" i="2"/>
  <c r="AJ4942" i="2"/>
  <c r="AF4943" i="2"/>
  <c r="AK4943" i="2"/>
  <c r="AG4943" i="2"/>
  <c r="AH4943" i="2"/>
  <c r="AI4943" i="2"/>
  <c r="AL4943" i="2" s="1"/>
  <c r="AJ4943" i="2"/>
  <c r="AF4944" i="2"/>
  <c r="AK4944" i="2" s="1"/>
  <c r="AL4944" i="2" s="1"/>
  <c r="AG4944" i="2"/>
  <c r="AH4944" i="2"/>
  <c r="AI4944" i="2"/>
  <c r="AJ4944" i="2"/>
  <c r="AF4945" i="2"/>
  <c r="AK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c r="AG4949" i="2"/>
  <c r="AH4949" i="2"/>
  <c r="AI4949" i="2"/>
  <c r="AJ4949" i="2"/>
  <c r="AL4949" i="2" s="1"/>
  <c r="AF4950" i="2"/>
  <c r="AK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c r="AG4953" i="2"/>
  <c r="AH4953" i="2"/>
  <c r="AI4953" i="2"/>
  <c r="AL4953" i="2" s="1"/>
  <c r="AJ4953" i="2"/>
  <c r="AF4954" i="2"/>
  <c r="AK4954" i="2" s="1"/>
  <c r="AL4954" i="2" s="1"/>
  <c r="AG4954" i="2"/>
  <c r="AH4954" i="2"/>
  <c r="AI4954" i="2"/>
  <c r="AJ4954" i="2"/>
  <c r="AF4955" i="2"/>
  <c r="AK4955" i="2" s="1"/>
  <c r="AL4955" i="2" s="1"/>
  <c r="AG4955" i="2"/>
  <c r="AH4955" i="2"/>
  <c r="AI4955" i="2"/>
  <c r="AJ4955" i="2"/>
  <c r="AF4956" i="2"/>
  <c r="AK4956" i="2"/>
  <c r="AL4956" i="2" s="1"/>
  <c r="AG4956" i="2"/>
  <c r="AH4956" i="2"/>
  <c r="AI4956" i="2"/>
  <c r="AJ4956" i="2"/>
  <c r="AF4957" i="2"/>
  <c r="AK4957" i="2" s="1"/>
  <c r="AL4957" i="2" s="1"/>
  <c r="AG4957" i="2"/>
  <c r="AH4957" i="2"/>
  <c r="AI4957" i="2"/>
  <c r="AJ4957" i="2"/>
  <c r="AF4958" i="2"/>
  <c r="AK4958" i="2"/>
  <c r="AG4958" i="2"/>
  <c r="AH4958" i="2"/>
  <c r="AI4958" i="2"/>
  <c r="AJ4958" i="2"/>
  <c r="AF4959" i="2"/>
  <c r="AK4959" i="2" s="1"/>
  <c r="AL4959" i="2" s="1"/>
  <c r="AG4959" i="2"/>
  <c r="AH4959" i="2"/>
  <c r="AI4959" i="2"/>
  <c r="AJ4959" i="2"/>
  <c r="AF4960" i="2"/>
  <c r="AK4960" i="2" s="1"/>
  <c r="AL4960" i="2" s="1"/>
  <c r="AG4960" i="2"/>
  <c r="AH4960" i="2"/>
  <c r="AI4960" i="2"/>
  <c r="AJ4960" i="2"/>
  <c r="AF4961" i="2"/>
  <c r="AK4961" i="2"/>
  <c r="AG4961" i="2"/>
  <c r="AL4961" i="2" s="1"/>
  <c r="AH4961" i="2"/>
  <c r="AI4961" i="2"/>
  <c r="AJ4961" i="2"/>
  <c r="AF4962" i="2"/>
  <c r="AK4962" i="2"/>
  <c r="AG4962" i="2"/>
  <c r="AH4962" i="2"/>
  <c r="AL4962" i="2"/>
  <c r="AI4962" i="2"/>
  <c r="AJ4962" i="2"/>
  <c r="AF4963" i="2"/>
  <c r="AK4963" i="2"/>
  <c r="AG4963" i="2"/>
  <c r="AL4963" i="2" s="1"/>
  <c r="AH4963" i="2"/>
  <c r="AI4963" i="2"/>
  <c r="AJ4963" i="2"/>
  <c r="AF4964" i="2"/>
  <c r="AK4964" i="2" s="1"/>
  <c r="AL4964" i="2" s="1"/>
  <c r="AG4964" i="2"/>
  <c r="AH4964" i="2"/>
  <c r="AI4964" i="2"/>
  <c r="AJ4964" i="2"/>
  <c r="AF4965" i="2"/>
  <c r="AK4965" i="2" s="1"/>
  <c r="AG4965" i="2"/>
  <c r="AH4965" i="2"/>
  <c r="AI4965" i="2"/>
  <c r="AL4965" i="2" s="1"/>
  <c r="AJ4965" i="2"/>
  <c r="AF4966" i="2"/>
  <c r="AK4966" i="2"/>
  <c r="AL4966" i="2" s="1"/>
  <c r="AG4966" i="2"/>
  <c r="AH4966" i="2"/>
  <c r="AI4966" i="2"/>
  <c r="AJ4966" i="2"/>
  <c r="AF4967" i="2"/>
  <c r="AK4967" i="2" s="1"/>
  <c r="AG4967" i="2"/>
  <c r="AL4967" i="2" s="1"/>
  <c r="AH4967" i="2"/>
  <c r="AI4967" i="2"/>
  <c r="AJ4967" i="2"/>
  <c r="AF4968" i="2"/>
  <c r="AK4968" i="2"/>
  <c r="AG4968" i="2"/>
  <c r="AH4968" i="2"/>
  <c r="AL4968" i="2" s="1"/>
  <c r="AI4968" i="2"/>
  <c r="AJ4968" i="2"/>
  <c r="AF4969" i="2"/>
  <c r="AK4969" i="2"/>
  <c r="AG4969" i="2"/>
  <c r="AH4969" i="2"/>
  <c r="AI4969" i="2"/>
  <c r="AJ4969" i="2"/>
  <c r="AF4970" i="2"/>
  <c r="AK4970" i="2" s="1"/>
  <c r="AG4970" i="2"/>
  <c r="AH4970" i="2"/>
  <c r="AI4970" i="2"/>
  <c r="AJ4970" i="2"/>
  <c r="AF4971" i="2"/>
  <c r="AK4971" i="2" s="1"/>
  <c r="AG4971" i="2"/>
  <c r="AH4971" i="2"/>
  <c r="AI4971" i="2"/>
  <c r="AL4971" i="2" s="1"/>
  <c r="AJ4971" i="2"/>
  <c r="AF4972" i="2"/>
  <c r="AK4972" i="2"/>
  <c r="AG4972" i="2"/>
  <c r="AH4972" i="2"/>
  <c r="AI4972" i="2"/>
  <c r="AL4972" i="2" s="1"/>
  <c r="AJ4972" i="2"/>
  <c r="AF4973" i="2"/>
  <c r="AK4973" i="2"/>
  <c r="AG4973" i="2"/>
  <c r="AL4973" i="2" s="1"/>
  <c r="AH4973" i="2"/>
  <c r="AI4973" i="2"/>
  <c r="AJ4973" i="2"/>
  <c r="AF4974" i="2"/>
  <c r="AK4974" i="2"/>
  <c r="AG4974" i="2"/>
  <c r="AH4974" i="2"/>
  <c r="AI4974" i="2"/>
  <c r="AL4974" i="2" s="1"/>
  <c r="AJ4974" i="2"/>
  <c r="AF4975" i="2"/>
  <c r="AK4975" i="2"/>
  <c r="AG4975" i="2"/>
  <c r="AH4975" i="2"/>
  <c r="AI4975" i="2"/>
  <c r="AJ4975" i="2"/>
  <c r="AL4975" i="2" s="1"/>
  <c r="AF4976" i="2"/>
  <c r="AK4976" i="2" s="1"/>
  <c r="AL4976" i="2" s="1"/>
  <c r="AG4976" i="2"/>
  <c r="AH4976" i="2"/>
  <c r="AI4976" i="2"/>
  <c r="AJ4976" i="2"/>
  <c r="AF4977" i="2"/>
  <c r="AK4977" i="2"/>
  <c r="AG4977" i="2"/>
  <c r="AL4977" i="2" s="1"/>
  <c r="AH4977" i="2"/>
  <c r="AI4977" i="2"/>
  <c r="AJ4977" i="2"/>
  <c r="AF4978" i="2"/>
  <c r="AK4978" i="2"/>
  <c r="AL4978" i="2"/>
  <c r="AG4978" i="2"/>
  <c r="AH4978" i="2"/>
  <c r="AI4978" i="2"/>
  <c r="AJ4978" i="2"/>
  <c r="AF4979" i="2"/>
  <c r="AK4979" i="2" s="1"/>
  <c r="AG4979" i="2"/>
  <c r="AH4979" i="2"/>
  <c r="AL4979" i="2" s="1"/>
  <c r="AI4979" i="2"/>
  <c r="AJ4979" i="2"/>
  <c r="AF4980" i="2"/>
  <c r="AK4980" i="2"/>
  <c r="AG4980" i="2"/>
  <c r="AH4980" i="2"/>
  <c r="AI4980" i="2"/>
  <c r="AJ4980" i="2"/>
  <c r="AL4980" i="2" s="1"/>
  <c r="AF4981" i="2"/>
  <c r="AK4981" i="2" s="1"/>
  <c r="AL4981" i="2" s="1"/>
  <c r="AG4981" i="2"/>
  <c r="AH4981" i="2"/>
  <c r="AI4981" i="2"/>
  <c r="AJ4981" i="2"/>
  <c r="AF4982" i="2"/>
  <c r="AK4982" i="2"/>
  <c r="AG4982" i="2"/>
  <c r="AH4982" i="2"/>
  <c r="AI4982" i="2"/>
  <c r="AL4982" i="2" s="1"/>
  <c r="AJ4982" i="2"/>
  <c r="AF4983" i="2"/>
  <c r="AK4983" i="2"/>
  <c r="AG4983" i="2"/>
  <c r="AL4983" i="2" s="1"/>
  <c r="AH4983" i="2"/>
  <c r="AI4983" i="2"/>
  <c r="AJ4983" i="2"/>
  <c r="AF4984" i="2"/>
  <c r="AK4984" i="2" s="1"/>
  <c r="AL4984" i="2" s="1"/>
  <c r="AG4984" i="2"/>
  <c r="AH4984" i="2"/>
  <c r="AI4984" i="2"/>
  <c r="AJ4984" i="2"/>
  <c r="AF4985" i="2"/>
  <c r="AK4985" i="2"/>
  <c r="AG4985" i="2"/>
  <c r="AH4985" i="2"/>
  <c r="AI4985" i="2"/>
  <c r="AL4985" i="2" s="1"/>
  <c r="AJ4985" i="2"/>
  <c r="AF4986" i="2"/>
  <c r="AK4986" i="2" s="1"/>
  <c r="AG4986" i="2"/>
  <c r="AH4986" i="2"/>
  <c r="AI4986" i="2"/>
  <c r="AJ4986" i="2"/>
  <c r="AF4987" i="2"/>
  <c r="AK4987" i="2" s="1"/>
  <c r="AG4987" i="2"/>
  <c r="AH4987" i="2"/>
  <c r="AI4987" i="2"/>
  <c r="AJ4987" i="2"/>
  <c r="AF4988" i="2"/>
  <c r="AK4988" i="2" s="1"/>
  <c r="AG4988" i="2"/>
  <c r="AH4988" i="2"/>
  <c r="AI4988" i="2"/>
  <c r="AL4988" i="2" s="1"/>
  <c r="AJ4988" i="2"/>
  <c r="AF4989" i="2"/>
  <c r="AK4989" i="2"/>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J4992" i="2"/>
  <c r="AL4992" i="2" s="1"/>
  <c r="AF4993" i="2"/>
  <c r="AK4993" i="2" s="1"/>
  <c r="AG4993" i="2"/>
  <c r="AH4993" i="2"/>
  <c r="AI4993" i="2"/>
  <c r="AJ4993" i="2"/>
  <c r="AF4994" i="2"/>
  <c r="AK4994" i="2" s="1"/>
  <c r="AL4994" i="2" s="1"/>
  <c r="AG4994" i="2"/>
  <c r="AH4994" i="2"/>
  <c r="AI4994" i="2"/>
  <c r="AJ4994" i="2"/>
  <c r="AF4995" i="2"/>
  <c r="AK4995" i="2"/>
  <c r="AL4995" i="2"/>
  <c r="AG4995" i="2"/>
  <c r="AH4995" i="2"/>
  <c r="AI4995" i="2"/>
  <c r="AJ4995" i="2"/>
  <c r="AF4996" i="2"/>
  <c r="AK4996" i="2" s="1"/>
  <c r="AG4996" i="2"/>
  <c r="AH4996" i="2"/>
  <c r="AI4996" i="2"/>
  <c r="AJ4996" i="2"/>
  <c r="AF4997" i="2"/>
  <c r="AK4997" i="2"/>
  <c r="AG4997" i="2"/>
  <c r="AH4997" i="2"/>
  <c r="AI4997" i="2"/>
  <c r="AL4997" i="2" s="1"/>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2" i="2"/>
  <c r="AM12" i="2"/>
  <c r="AL4796"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816" i="2"/>
  <c r="AL4813" i="2"/>
  <c r="AL4599" i="2"/>
  <c r="AL4459" i="2"/>
  <c r="AL4433" i="2"/>
  <c r="AL4303" i="2"/>
  <c r="AL3843" i="2"/>
  <c r="AL4824" i="2"/>
  <c r="AL4654" i="2"/>
  <c r="AL4528" i="2"/>
  <c r="AL4501" i="2"/>
  <c r="AL4493" i="2"/>
  <c r="AL4466" i="2"/>
  <c r="AL4756" i="2"/>
  <c r="AL4738" i="2"/>
  <c r="AL4734" i="2"/>
  <c r="AL4724" i="2"/>
  <c r="AL4644" i="2"/>
  <c r="AL4581" i="2"/>
  <c r="AL4494" i="2"/>
  <c r="AL4478" i="2"/>
  <c r="AL4454" i="2"/>
  <c r="AL4431" i="2"/>
  <c r="AL4345" i="2"/>
  <c r="AL4338" i="2"/>
  <c r="AL4007" i="2"/>
  <c r="AL3986" i="2"/>
  <c r="AL4804"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716" i="2"/>
  <c r="AL4601" i="2"/>
  <c r="AL4396" i="2"/>
  <c r="AL4668" i="2"/>
  <c r="AL4611" i="2"/>
  <c r="AL4591" i="2"/>
  <c r="AL4332" i="2"/>
  <c r="AL4750" i="2"/>
  <c r="AL4636" i="2"/>
  <c r="AL4617" i="2"/>
  <c r="AL4518" i="2"/>
  <c r="AL4837" i="2"/>
  <c r="AL4835" i="2"/>
  <c r="AL4706" i="2"/>
  <c r="AL4629" i="2"/>
  <c r="AL4533" i="2"/>
  <c r="AL4487" i="2"/>
  <c r="AL4453" i="2"/>
  <c r="AL4334" i="2"/>
  <c r="AL4233" i="2"/>
  <c r="AL4670"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9" i="2"/>
  <c r="AM9" i="2" s="1"/>
  <c r="AM8" i="2"/>
  <c r="AL7" i="2"/>
  <c r="AM7" i="2" s="1"/>
  <c r="AL4914" i="2"/>
  <c r="AL4649" i="2"/>
  <c r="AL4597" i="2"/>
  <c r="AL4858" i="2"/>
  <c r="AL4704" i="2"/>
  <c r="AL4664" i="2"/>
  <c r="AL4579" i="2"/>
  <c r="AL4853" i="2"/>
  <c r="AL4698" i="2"/>
  <c r="AL4895" i="2"/>
  <c r="AL4892"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856" i="2"/>
  <c r="AL4840" i="2"/>
  <c r="AL4779" i="2"/>
  <c r="AL4771" i="2"/>
  <c r="AL4733" i="2"/>
  <c r="AL4719" i="2"/>
  <c r="AL4556" i="2"/>
  <c r="AL4537" i="2"/>
  <c r="AL4515" i="2"/>
  <c r="AL4958" i="2"/>
  <c r="AL4903" i="2"/>
  <c r="AL4874" i="2"/>
  <c r="AL4871" i="2"/>
  <c r="AL4860" i="2"/>
  <c r="AL4836" i="2"/>
  <c r="AL4821" i="2"/>
  <c r="AL4799" i="2"/>
  <c r="AL4730" i="2"/>
  <c r="AL4647" i="2"/>
  <c r="AL4588" i="2"/>
  <c r="AL4582" i="2"/>
  <c r="AL4843" i="2"/>
  <c r="AL4825" i="2"/>
  <c r="AL4811" i="2"/>
  <c r="AL4806" i="2"/>
  <c r="AL4789" i="2"/>
  <c r="AL4766" i="2"/>
  <c r="AL4758" i="2"/>
  <c r="AL4751" i="2"/>
  <c r="AL4675" i="2"/>
  <c r="AL4604" i="2"/>
  <c r="AL4594" i="2"/>
  <c r="AL4550" i="2"/>
  <c r="AL4506" i="2"/>
  <c r="AL4452" i="2"/>
  <c r="AL4969" i="2"/>
  <c r="AL4911" i="2"/>
  <c r="AL4894" i="2"/>
  <c r="AL4884" i="2"/>
  <c r="AL4794" i="2"/>
  <c r="AL4686" i="2"/>
  <c r="AL4635" i="2"/>
  <c r="AL4580" i="2"/>
  <c r="AL4574" i="2"/>
  <c r="AL4548" i="2"/>
  <c r="AL4522" i="2"/>
  <c r="AL4449"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1" i="2"/>
  <c r="AM11" i="2" s="1"/>
  <c r="AL10" i="2"/>
  <c r="AM10" i="2" s="1"/>
  <c r="AL4945" i="2"/>
  <c r="AL4986" i="2"/>
  <c r="AL4950" i="2"/>
  <c r="AL4937" i="2"/>
  <c r="AL4996" i="2"/>
  <c r="AL4993" i="2"/>
  <c r="AL4987" i="2"/>
  <c r="AL4905" i="2"/>
  <c r="AL4970" i="2"/>
  <c r="AL4990" i="2"/>
  <c r="AL4948" i="2"/>
  <c r="AL4897" i="2"/>
  <c r="AL4788" i="2"/>
  <c r="AL4757" i="2"/>
  <c r="AL4743" i="2"/>
  <c r="AL4737" i="2"/>
  <c r="AL4705" i="2"/>
  <c r="AL4695" i="2"/>
  <c r="AL4683" i="2"/>
  <c r="AL4886" i="2"/>
  <c r="AL4868" i="2"/>
  <c r="AL4865" i="2"/>
  <c r="AL4861" i="2"/>
  <c r="AL4838" i="2"/>
  <c r="AL4831" i="2"/>
  <c r="AL4828" i="2"/>
  <c r="AL4753" i="2"/>
  <c r="AL4718" i="2"/>
  <c r="AL4715" i="2"/>
  <c r="AL4702" i="2"/>
  <c r="AL4692" i="2"/>
  <c r="AL4661" i="2"/>
  <c r="AL4898" i="2"/>
  <c r="AL4866" i="2"/>
  <c r="AL4859" i="2"/>
  <c r="AL4846" i="2"/>
  <c r="AL4787" i="2"/>
  <c r="AL4709" i="2"/>
  <c r="AL4899" i="2"/>
  <c r="AL4867" i="2"/>
  <c r="AL4823" i="2"/>
  <c r="AL4693" i="2"/>
  <c r="AL4685" i="2"/>
  <c r="AL4662" i="2"/>
  <c r="AL4880" i="2"/>
  <c r="AL4873" i="2"/>
  <c r="AL4863" i="2"/>
  <c r="AL4826" i="2"/>
  <c r="AL4814" i="2"/>
  <c r="AL4810" i="2"/>
  <c r="AL4777" i="2"/>
  <c r="AL4775" i="2"/>
  <c r="AL4768" i="2"/>
  <c r="AL4762" i="2"/>
  <c r="AL4755" i="2"/>
  <c r="AL4746" i="2"/>
  <c r="AL4745" i="2"/>
  <c r="AL4726" i="2"/>
  <c r="AL4707" i="2"/>
  <c r="AL4694" i="2"/>
  <c r="AL4889" i="2"/>
  <c r="AL4833" i="2"/>
  <c r="AL4830" i="2"/>
  <c r="AL4791" i="2"/>
  <c r="AL4729" i="2"/>
  <c r="AL4710" i="2"/>
  <c r="AL4628" i="2"/>
  <c r="AL4595" i="2"/>
  <c r="AL4585" i="2"/>
  <c r="AL4569" i="2"/>
  <c r="AL4547" i="2"/>
  <c r="AL4540" i="2"/>
  <c r="AL4477" i="2"/>
  <c r="AL4438" i="2"/>
  <c r="AL4364" i="2"/>
  <c r="AL4356" i="2"/>
  <c r="AL4322" i="2"/>
  <c r="AL4260" i="2"/>
  <c r="AL4190" i="2"/>
  <c r="AL4147" i="2"/>
  <c r="AL3947" i="2"/>
  <c r="AL3900" i="2"/>
  <c r="AL3712" i="2"/>
  <c r="AL4625" i="2"/>
  <c r="AL4544" i="2"/>
  <c r="AL4514" i="2"/>
  <c r="AL4484" i="2"/>
  <c r="AL4465" i="2"/>
  <c r="AL4435" i="2"/>
  <c r="AL4422" i="2"/>
  <c r="AL4406" i="2"/>
  <c r="AL4397" i="2"/>
  <c r="AL4390" i="2"/>
  <c r="AL4294" i="2"/>
  <c r="AL4257" i="2"/>
  <c r="AL4129" i="2"/>
  <c r="AL4097" i="2"/>
  <c r="AL4046" i="2"/>
  <c r="AL3927" i="2"/>
  <c r="AL4646" i="2"/>
  <c r="AL3993" i="2"/>
  <c r="AL4673" i="2"/>
  <c r="AL4669" i="2"/>
  <c r="AL4657" i="2"/>
  <c r="AL4640" i="2"/>
  <c r="AL4620" i="2"/>
  <c r="AL4610" i="2"/>
  <c r="AL4603" i="2"/>
  <c r="AL4557" i="2"/>
  <c r="AL4502" i="2"/>
  <c r="AL4495" i="2"/>
  <c r="AL4492" i="2"/>
  <c r="AL4463" i="2"/>
  <c r="AL4460" i="2"/>
  <c r="AL4450" i="2"/>
  <c r="AL4347" i="2"/>
  <c r="AL4301" i="2"/>
  <c r="AL4170" i="2"/>
  <c r="AL4101" i="2"/>
  <c r="AL3989" i="2"/>
  <c r="AL3976" i="2"/>
  <c r="AL3925" i="2"/>
  <c r="AL3827" i="2"/>
  <c r="AL3804" i="2"/>
  <c r="AL3740" i="2"/>
  <c r="AL4607" i="2"/>
  <c r="AL4593" i="2"/>
  <c r="AL4578" i="2"/>
  <c r="AL4564" i="2"/>
  <c r="AL4546" i="2"/>
  <c r="AL4213" i="2"/>
  <c r="AL4182" i="2"/>
  <c r="AL4111" i="2"/>
  <c r="AL4105" i="2"/>
  <c r="AL3956" i="2"/>
  <c r="AL3885" i="2"/>
  <c r="AL3760" i="2"/>
  <c r="AL3757" i="2"/>
  <c r="AL4666" i="2"/>
  <c r="AL4655" i="2"/>
  <c r="AL4627" i="2"/>
  <c r="AL4584" i="2"/>
  <c r="AL4513" i="2"/>
  <c r="AL4473" i="2"/>
  <c r="AL4424" i="2"/>
  <c r="AL4415" i="2"/>
  <c r="AL4408" i="2"/>
  <c r="AL4259" i="2"/>
  <c r="AL4252" i="2"/>
  <c r="AL3915" i="2"/>
  <c r="AL3856" i="2"/>
  <c r="AL3771" i="2"/>
  <c r="AL4642" i="2"/>
  <c r="AL4622" i="2"/>
  <c r="AL4289" i="2"/>
  <c r="AL3616" i="2"/>
  <c r="AL3535" i="2"/>
  <c r="AL3310" i="2"/>
  <c r="AL3300" i="2"/>
  <c r="AL3272" i="2"/>
  <c r="AL3138" i="2"/>
  <c r="AL3123" i="2"/>
  <c r="AL2690" i="2"/>
  <c r="AL3672" i="2"/>
  <c r="AL3532" i="2"/>
  <c r="AL3415" i="2"/>
  <c r="AL3360" i="2"/>
  <c r="AL3353" i="2"/>
  <c r="AL3328" i="2"/>
  <c r="AL3307" i="2"/>
  <c r="AL3284" i="2"/>
  <c r="AL3005" i="2"/>
  <c r="AL3683" i="2"/>
  <c r="AL3610" i="2"/>
  <c r="AL3517" i="2"/>
  <c r="AL3497" i="2"/>
  <c r="AL3493" i="2"/>
  <c r="AL3363" i="2"/>
  <c r="AL3289" i="2"/>
  <c r="AL3530" i="2"/>
  <c r="AL3385" i="2"/>
  <c r="AL3221" i="2"/>
  <c r="AL3212" i="2"/>
  <c r="AL3018" i="2"/>
  <c r="AL2641" i="2"/>
  <c r="AL3710" i="2"/>
  <c r="AL3480" i="2"/>
  <c r="AL3467" i="2"/>
  <c r="AL3309" i="2"/>
  <c r="AL3255" i="2"/>
  <c r="AL2630" i="2"/>
  <c r="AL3611" i="2"/>
  <c r="AL3571" i="2"/>
  <c r="AL3552" i="2"/>
  <c r="AL3531" i="2"/>
  <c r="AL3521" i="2"/>
  <c r="AL3414" i="2"/>
  <c r="AL3306" i="2"/>
  <c r="AL2689" i="2"/>
  <c r="AL2463" i="2"/>
  <c r="AL2476" i="2"/>
  <c r="AL2320" i="2"/>
  <c r="AL2255" i="2"/>
  <c r="AL2151" i="2"/>
  <c r="AL2530" i="2"/>
  <c r="AL2448" i="2"/>
  <c r="AL2406" i="2"/>
  <c r="AL2384" i="2"/>
  <c r="AL2149" i="2"/>
  <c r="AL2622" i="2"/>
  <c r="AL2557" i="2"/>
  <c r="AL2432" i="2"/>
  <c r="AL2353" i="2"/>
  <c r="AL2314" i="2"/>
  <c r="AL1486" i="2"/>
  <c r="AL2568" i="2"/>
  <c r="AL2159" i="2"/>
  <c r="AL2663" i="2"/>
  <c r="AL2482" i="2"/>
  <c r="AL2462" i="2"/>
  <c r="AL2446" i="2"/>
  <c r="AL2430" i="2"/>
  <c r="AL2414" i="2"/>
  <c r="AL2379" i="2"/>
  <c r="AL2303" i="2"/>
  <c r="AL2277" i="2"/>
  <c r="AL1971" i="2"/>
  <c r="AL1544" i="2"/>
  <c r="AL2091" i="2"/>
  <c r="AL2029" i="2"/>
  <c r="AL1776" i="2"/>
  <c r="AL1818" i="2"/>
  <c r="AL1173" i="2"/>
  <c r="AL998" i="2"/>
  <c r="AL1314" i="2"/>
  <c r="AL967" i="2"/>
  <c r="AL1103" i="2"/>
  <c r="AL1308" i="2"/>
  <c r="AL1224" i="2"/>
  <c r="AL1001" i="2"/>
  <c r="AL1275" i="2"/>
  <c r="AL1088" i="2"/>
  <c r="AL983" i="2"/>
  <c r="AL445" i="2"/>
  <c r="AL297" i="2"/>
  <c r="AL179" i="2"/>
  <c r="AL168" i="2"/>
  <c r="AL597" i="2"/>
  <c r="AL5166"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<sst xmlns="http://schemas.openxmlformats.org/spreadsheetml/2006/main" count="212" uniqueCount="135">
  <si>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</si>
  <si>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</si>
  <si>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</si>
  <si>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</si>
  <si>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</si>
  <si>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</si>
  <si>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</si>
  <si>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</si>
  <si>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</si>
  <si>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</si>
  <si>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</si>
  <si>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</si>
  <si>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</si>
  <si>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</si>
  <si>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</si>
  <si>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</si>
  <si>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</si>
  <si>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</si>
  <si>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</si>
  <si>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</si>
  <si>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</si>
  <si>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</si>
  <si>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</si>
  <si>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</si>
  <si>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</si>
  <si>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</si>
  <si>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</si>
  <si>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</si>
  <si>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</si>
  <si>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</si>
  <si>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</si>
  <si>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</si>
  <si>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</si>
  <si>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</si>
  <si>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</si>
  <si>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</si>
  <si>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</si>
  <si>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</si>
  <si>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</si>
  <si>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</si>
  <si>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</si>
  <si>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</si>
  <si>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</si>
  <si>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</si>
  <si>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</si>
  <si>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</si>
  <si>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</si>
  <si>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</si>
  <si>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</si>
  <si>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</si>
  <si>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</si>
  <si>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</si>
  <si>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</si>
  <si>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</si>
  <si>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</si>
  <si>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</si>
  <si>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</si>
  <si>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</si>
  <si>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</si>
  <si>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</si>
  <si>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</si>
  <si>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</si>
  <si>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</si>
  <si>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</si>
  <si>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</si>
  <si>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</si>
  <si>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</si>
  <si>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</si>
  <si>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</si>
  <si>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</si>
  <si>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</si>
  <si>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</si>
  <si>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</si>
  <si>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</si>
  <si>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</si>
  <si>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</si>
  <si>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</si>
  <si>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</si>
  <si>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</si>
  <si>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</si>
  <si>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</si>
  <si>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</si>
  <si>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</si>
  <si>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</si>
  <si>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</si>
  <si>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</si>
  <si>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</si>
  <si>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</si>
  <si>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</si>
  <si>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</si>
  <si>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</si>
  <si>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</si>
  <si>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</si>
  <si>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Watson Creek</t>
  </si>
  <si>
    <t>Highway 16</t>
  </si>
  <si>
    <t>Closed Bottom Structure</t>
  </si>
  <si>
    <t>Round Culvert</t>
  </si>
  <si>
    <t>No</t>
  </si>
  <si>
    <t>Deep Fill</t>
  </si>
  <si>
    <t>Medium</t>
  </si>
  <si>
    <t>Deep and large outlet pool indicate culvert is significantly undersized. Condition of the pipe is poor with corrosion and some collapsing in the middle of the pipe. 0.6m diameter overflow pipe located adjacent to the main culvert. Some decent gravels downstream. 15:52</t>
  </si>
  <si>
    <t>Open Bottom Structure</t>
  </si>
  <si>
    <t>MW, TP</t>
  </si>
  <si>
    <t>Perow Creek</t>
  </si>
  <si>
    <t>Perow Loop Road</t>
  </si>
  <si>
    <t>Low</t>
  </si>
  <si>
    <t>Stream is dry. Private yards u/s and d/s. Rip rap and cement in channel. 10:48</t>
  </si>
  <si>
    <t>Yes</t>
  </si>
  <si>
    <t>MW, TP, AI, VJ, AN, DN</t>
  </si>
  <si>
    <t>Stock Creek</t>
  </si>
  <si>
    <t>Barrett Station Road</t>
  </si>
  <si>
    <t>Oval Culvert</t>
  </si>
  <si>
    <t>Very large outlet drop, but creates nice pool for fish. Erosion on LB/RB on outlet side. Agricultural fields, minimal municipality population ds. Road is paved, detour available. 10:25</t>
  </si>
  <si>
    <t>MW, TP, VJ</t>
  </si>
  <si>
    <t>Bridge</t>
  </si>
  <si>
    <t>Private property, farm bridge, concrete slabs on both banks upstream of culvert. 12:02</t>
  </si>
  <si>
    <t>MW, DN, TP, AN</t>
  </si>
  <si>
    <t>Valee Creek</t>
  </si>
  <si>
    <t>Walcott Road</t>
  </si>
  <si>
    <t>High</t>
  </si>
  <si>
    <t>Slight outlet drop, low water levels would be a fish passage issue. Little amount of water running through culvert. Deep pool at outlet of culvert, good for fish. Boulders in culvert, which are obstacles to fish. 9:34</t>
  </si>
  <si>
    <t>AI, DN, AN</t>
  </si>
  <si>
    <t>MoTi</t>
  </si>
  <si>
    <t xml:space="preserve">Very large outlet job. Low traffic road. 10:23    </t>
  </si>
  <si>
    <t xml:space="preserve"> Length 167 m. Fill depth estimated at approximately 35 m. 14:35</t>
  </si>
  <si>
    <t>AI</t>
  </si>
  <si>
    <t>Coffin Creek</t>
  </si>
  <si>
    <t>Spur</t>
  </si>
  <si>
    <t>Other</t>
  </si>
  <si>
    <t>Ford</t>
  </si>
  <si>
    <t>Dam has ~1m wide notch at 0.9m then 30m is 1.1m high. 35m wide and 0.9m high. UAV used to map the stream. Large wetland area upstream. Wetland type habitat downstream too. 17:27</t>
  </si>
  <si>
    <t>Telkwa high road</t>
  </si>
  <si>
    <t xml:space="preserve">Trib to Gramaphone Creek </t>
  </si>
  <si>
    <t>AI, CM, JO</t>
  </si>
  <si>
    <t>Gradient of culvert shot with laser level. Inside of pipe is bent downward at the outlet. Upstream side of the road is eroding. Enormous outlet pool indicates pricing is undersized. Water flowing under overflow. Just outside of Whitsett community. Seems like a really good candidate for replacement. 10:26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</si>
</sst>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8"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O13" sqref="AO13"/>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44801</v>
      </c>
      <c r="B5" s="58">
        <v>197974</v>
      </c>
      <c r="D5" s="10" t="s">
        <v>92</v>
      </c>
      <c r="E5" s="11">
        <v>9</v>
      </c>
      <c r="F5" s="39">
        <v>680379</v>
      </c>
      <c r="G5" s="39">
        <v>6040073</v>
      </c>
      <c r="H5" s="11" t="s">
        <v>93</v>
      </c>
      <c r="I5" s="11" t="s">
        <v>94</v>
      </c>
      <c r="J5" s="33"/>
      <c r="K5" s="11" t="s">
        <v>122</v>
      </c>
      <c r="L5" s="10" t="s">
        <v>95</v>
      </c>
      <c r="M5" s="10" t="s">
        <v>96</v>
      </c>
      <c r="N5" s="85">
        <v>0.9</v>
      </c>
      <c r="O5" s="85">
        <v>25.5</v>
      </c>
      <c r="P5" s="10" t="s">
        <v>97</v>
      </c>
      <c r="Q5" s="86"/>
      <c r="R5" s="10" t="s">
        <v>97</v>
      </c>
      <c r="S5" s="10" t="s">
        <v>97</v>
      </c>
      <c r="T5" s="86"/>
      <c r="U5" s="10">
        <v>3</v>
      </c>
      <c r="V5" s="10">
        <v>1</v>
      </c>
      <c r="W5" s="10">
        <v>1.2</v>
      </c>
      <c r="X5" s="10" t="s">
        <v>97</v>
      </c>
      <c r="Y5" s="10">
        <v>3.5</v>
      </c>
      <c r="Z5" s="10"/>
      <c r="AB5" s="10" t="s">
        <v>97</v>
      </c>
      <c r="AC5" s="10" t="s">
        <v>97</v>
      </c>
      <c r="AD5" s="10" t="s">
        <v>98</v>
      </c>
      <c r="AE5" s="10" t="s">
        <v>99</v>
      </c>
      <c r="AF5" s="20">
        <f>IF(ISBLANK(Z5), 0, IF(ISBLANK(N5) &lt; 0, 0,Z5 / N5))</f>
        <v>0</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0</v>
      </c>
      <c r="AL5" s="12">
        <f>AG5 + AH5 + AI5 + AJ5 + AK5</f>
        <v>33</v>
      </c>
      <c r="AM5" s="14" t="str">
        <f>IF(ISBLANK(L5), "", IF(L5 = "Open Bottom Structure", "Passable", IF(L5 = "Other", "Unknown", IF(AL5 &lt; 15, "Passable", IF(AND(AL5 &gt;= 15,AL5 &lt;= 19), "Potential", IF(AL5 &gt; 19, "Barrier", ""))))))</f>
        <v>Barrier</v>
      </c>
      <c r="AO5" s="10"/>
      <c r="AP5" s="78" t="s">
        <v>100</v>
      </c>
    </row>
    <row r="6" spans="1:42" x14ac:dyDescent="0.25">
      <c r="A6" s="59">
        <v>44802</v>
      </c>
      <c r="B6" s="58">
        <v>197653</v>
      </c>
      <c r="D6" s="10" t="s">
        <v>102</v>
      </c>
      <c r="E6" s="11">
        <v>9</v>
      </c>
      <c r="F6" s="39">
        <v>665520</v>
      </c>
      <c r="G6" s="39">
        <v>6044200</v>
      </c>
      <c r="H6" s="10" t="s">
        <v>103</v>
      </c>
      <c r="I6" s="11" t="s">
        <v>104</v>
      </c>
      <c r="J6" s="33">
        <v>2</v>
      </c>
      <c r="K6" s="10"/>
      <c r="L6" s="10" t="s">
        <v>95</v>
      </c>
      <c r="M6" s="10" t="s">
        <v>96</v>
      </c>
      <c r="N6" s="85">
        <v>2.2999999999999998</v>
      </c>
      <c r="O6" s="85">
        <v>28</v>
      </c>
      <c r="P6" s="10" t="s">
        <v>97</v>
      </c>
      <c r="Q6" s="86"/>
      <c r="R6" s="10" t="s">
        <v>97</v>
      </c>
      <c r="S6" s="10" t="s">
        <v>97</v>
      </c>
      <c r="T6" s="86"/>
      <c r="U6" s="10">
        <v>0.5</v>
      </c>
      <c r="V6" s="10">
        <v>0.3</v>
      </c>
      <c r="W6" s="10">
        <v>0</v>
      </c>
      <c r="X6" s="10" t="s">
        <v>97</v>
      </c>
      <c r="Y6" s="10">
        <v>1.5</v>
      </c>
      <c r="Z6" s="10"/>
      <c r="AB6" s="10" t="s">
        <v>97</v>
      </c>
      <c r="AC6" s="10" t="s">
        <v>97</v>
      </c>
      <c r="AD6" s="10" t="s">
        <v>98</v>
      </c>
      <c r="AE6" s="10" t="s">
        <v>105</v>
      </c>
      <c r="AF6" s="20">
        <f t="shared" ref="AF6:AF11" si="0">IF(ISBLANK(Z6), 0, IF(ISBLANK(N6) &lt; 0, 0,Z6 / N6))</f>
        <v>0</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0</v>
      </c>
      <c r="AL6" s="12">
        <f t="shared" ref="AL6:AL11" si="6">AG6 + AH6 + AI6 + AJ6 + AK6</f>
        <v>28</v>
      </c>
      <c r="AM6" s="14" t="str">
        <f t="shared" ref="AM6:AM67" si="7">IF(ISBLANK(L6), "", IF(L6 = "Open Bottom Structure", "Passable", IF(L6 = "Other", "Unknown", IF(AL6 &lt; 15, "Passable", IF(AND(AL6 &gt;= 15,AL6 &lt;= 19), "Potential", IF(AL6 &gt; 19, "Barrier", ""))))))</f>
        <v>Barrier</v>
      </c>
      <c r="AO6" s="10"/>
      <c r="AP6" s="78" t="s">
        <v>106</v>
      </c>
    </row>
    <row r="7" spans="1:42" x14ac:dyDescent="0.25">
      <c r="A7" s="59">
        <v>44803</v>
      </c>
      <c r="B7" s="58">
        <v>195943</v>
      </c>
      <c r="D7" s="10" t="s">
        <v>108</v>
      </c>
      <c r="E7" s="11">
        <v>9</v>
      </c>
      <c r="F7" s="39">
        <v>645434</v>
      </c>
      <c r="G7" s="39">
        <v>6035035</v>
      </c>
      <c r="H7" s="10" t="s">
        <v>109</v>
      </c>
      <c r="I7" s="11" t="s">
        <v>110</v>
      </c>
      <c r="J7" s="33"/>
      <c r="K7" s="10"/>
      <c r="L7" s="10" t="s">
        <v>95</v>
      </c>
      <c r="M7" s="10" t="s">
        <v>111</v>
      </c>
      <c r="N7" s="21">
        <v>2</v>
      </c>
      <c r="O7" s="21">
        <v>14.5</v>
      </c>
      <c r="P7" s="10" t="s">
        <v>97</v>
      </c>
      <c r="Q7" s="86"/>
      <c r="R7" s="10" t="s">
        <v>97</v>
      </c>
      <c r="S7" s="10" t="s">
        <v>97</v>
      </c>
      <c r="T7" s="86"/>
      <c r="U7" s="10">
        <v>0.6</v>
      </c>
      <c r="V7" s="10">
        <v>1.1000000000000001</v>
      </c>
      <c r="W7" s="10">
        <v>0.71</v>
      </c>
      <c r="X7" s="10" t="s">
        <v>97</v>
      </c>
      <c r="Y7" s="10">
        <v>1.5</v>
      </c>
      <c r="Z7" s="10">
        <v>3</v>
      </c>
      <c r="AA7" s="10">
        <v>3</v>
      </c>
      <c r="AB7" s="10" t="s">
        <v>97</v>
      </c>
      <c r="AC7" s="10" t="s">
        <v>107</v>
      </c>
      <c r="AD7" s="10" t="s">
        <v>98</v>
      </c>
      <c r="AE7" s="10" t="s">
        <v>99</v>
      </c>
      <c r="AF7" s="20">
        <f t="shared" si="0"/>
        <v>1.5</v>
      </c>
      <c r="AG7" s="13">
        <f t="shared" si="1"/>
        <v>0</v>
      </c>
      <c r="AH7" s="7">
        <f t="shared" si="2"/>
        <v>10</v>
      </c>
      <c r="AI7" s="7">
        <f t="shared" si="3"/>
        <v>10</v>
      </c>
      <c r="AJ7" s="7">
        <f t="shared" si="4"/>
        <v>5</v>
      </c>
      <c r="AK7" s="7">
        <f t="shared" si="5"/>
        <v>6</v>
      </c>
      <c r="AL7" s="12">
        <f t="shared" si="6"/>
        <v>31</v>
      </c>
      <c r="AM7" s="14" t="str">
        <f t="shared" si="7"/>
        <v>Barrier</v>
      </c>
      <c r="AO7" s="10"/>
      <c r="AP7" s="10" t="s">
        <v>112</v>
      </c>
    </row>
    <row r="8" spans="1:42" x14ac:dyDescent="0.25">
      <c r="A8" s="59">
        <v>44803</v>
      </c>
      <c r="B8" s="82"/>
      <c r="C8" s="10">
        <v>2022083050</v>
      </c>
      <c r="D8" s="10" t="s">
        <v>113</v>
      </c>
      <c r="E8" s="11">
        <v>9</v>
      </c>
      <c r="F8" s="39">
        <v>645355</v>
      </c>
      <c r="G8" s="39">
        <v>6034873</v>
      </c>
      <c r="H8" s="10" t="s">
        <v>109</v>
      </c>
      <c r="J8" s="79"/>
      <c r="K8" s="81"/>
      <c r="L8" s="10" t="s">
        <v>101</v>
      </c>
      <c r="M8" s="10" t="s">
        <v>114</v>
      </c>
      <c r="N8" s="21">
        <v>6.1</v>
      </c>
      <c r="O8" s="21">
        <v>4.4000000000000004</v>
      </c>
      <c r="P8" s="86"/>
      <c r="Q8" s="86"/>
      <c r="R8" s="86"/>
      <c r="S8" s="86"/>
      <c r="T8" s="86"/>
      <c r="U8" s="86"/>
      <c r="V8" s="86"/>
      <c r="W8" s="86"/>
      <c r="X8" s="86"/>
      <c r="Y8" s="86"/>
      <c r="Z8" s="86"/>
      <c r="AA8" s="86"/>
      <c r="AB8" s="10" t="s">
        <v>97</v>
      </c>
      <c r="AC8" s="10" t="s">
        <v>97</v>
      </c>
      <c r="AD8" s="86"/>
      <c r="AE8" s="86"/>
      <c r="AF8" s="20">
        <f t="shared" si="0"/>
        <v>0</v>
      </c>
      <c r="AG8" s="13">
        <f t="shared" si="1"/>
        <v>0</v>
      </c>
      <c r="AH8" s="7">
        <f t="shared" si="2"/>
        <v>0</v>
      </c>
      <c r="AI8" s="7">
        <f t="shared" si="3"/>
        <v>0</v>
      </c>
      <c r="AJ8" s="7">
        <f t="shared" si="4"/>
        <v>0</v>
      </c>
      <c r="AK8" s="7">
        <f t="shared" si="5"/>
        <v>0</v>
      </c>
      <c r="AL8" s="12">
        <f t="shared" si="6"/>
        <v>0</v>
      </c>
      <c r="AM8" s="14" t="str">
        <f t="shared" si="7"/>
        <v>Passable</v>
      </c>
      <c r="AN8" s="86"/>
      <c r="AO8" s="86"/>
      <c r="AP8" s="10" t="s">
        <v>115</v>
      </c>
    </row>
    <row r="9" spans="1:42" x14ac:dyDescent="0.25">
      <c r="A9" s="59">
        <v>44804</v>
      </c>
      <c r="B9" s="58">
        <v>57793</v>
      </c>
      <c r="D9" s="10" t="s">
        <v>116</v>
      </c>
      <c r="E9" s="11">
        <v>9</v>
      </c>
      <c r="F9" s="39">
        <v>641460</v>
      </c>
      <c r="G9" s="39">
        <v>6044049</v>
      </c>
      <c r="H9" s="78" t="s">
        <v>117</v>
      </c>
      <c r="I9" s="11" t="s">
        <v>118</v>
      </c>
      <c r="J9" s="33"/>
      <c r="K9" s="10" t="s">
        <v>122</v>
      </c>
      <c r="L9" s="10" t="s">
        <v>95</v>
      </c>
      <c r="M9" s="10" t="s">
        <v>96</v>
      </c>
      <c r="N9" s="21">
        <v>3</v>
      </c>
      <c r="O9" s="21">
        <v>20</v>
      </c>
      <c r="P9" s="10" t="s">
        <v>97</v>
      </c>
      <c r="Q9" s="86"/>
      <c r="R9" s="10" t="s">
        <v>97</v>
      </c>
      <c r="S9" s="10" t="s">
        <v>97</v>
      </c>
      <c r="T9" s="86"/>
      <c r="U9" s="10">
        <v>1</v>
      </c>
      <c r="V9" s="10">
        <v>0.1</v>
      </c>
      <c r="W9" s="10">
        <v>0.5</v>
      </c>
      <c r="X9" s="10" t="s">
        <v>97</v>
      </c>
      <c r="Y9" s="10">
        <v>2</v>
      </c>
      <c r="Z9" s="10">
        <v>4.7</v>
      </c>
      <c r="AA9" s="10">
        <v>3</v>
      </c>
      <c r="AB9" s="10" t="s">
        <v>97</v>
      </c>
      <c r="AC9" s="10" t="s">
        <v>107</v>
      </c>
      <c r="AD9" s="10" t="s">
        <v>98</v>
      </c>
      <c r="AE9" s="10" t="s">
        <v>119</v>
      </c>
      <c r="AF9" s="20">
        <f t="shared" si="0"/>
        <v>1.5666666666666667</v>
      </c>
      <c r="AG9" s="13">
        <f t="shared" si="1"/>
        <v>3</v>
      </c>
      <c r="AH9" s="7">
        <f t="shared" si="2"/>
        <v>10</v>
      </c>
      <c r="AI9" s="7">
        <f t="shared" si="3"/>
        <v>0</v>
      </c>
      <c r="AJ9" s="7">
        <f t="shared" si="4"/>
        <v>5</v>
      </c>
      <c r="AK9" s="7">
        <f t="shared" si="5"/>
        <v>6</v>
      </c>
      <c r="AL9" s="12">
        <f t="shared" si="6"/>
        <v>24</v>
      </c>
      <c r="AM9" s="14" t="str">
        <f t="shared" si="7"/>
        <v>Barrier</v>
      </c>
      <c r="AO9" s="10"/>
      <c r="AP9" s="10" t="s">
        <v>120</v>
      </c>
    </row>
    <row r="10" spans="1:42" x14ac:dyDescent="0.25">
      <c r="A10" s="59">
        <v>44803</v>
      </c>
      <c r="B10" s="58">
        <v>195943</v>
      </c>
      <c r="D10" s="10" t="s">
        <v>121</v>
      </c>
      <c r="E10" s="11">
        <v>9</v>
      </c>
      <c r="F10" s="39">
        <v>645439</v>
      </c>
      <c r="G10" s="39">
        <v>6035047</v>
      </c>
      <c r="H10" s="78" t="s">
        <v>109</v>
      </c>
      <c r="I10" s="11" t="s">
        <v>110</v>
      </c>
      <c r="J10" s="33"/>
      <c r="K10" s="10" t="s">
        <v>122</v>
      </c>
      <c r="L10" s="10" t="s">
        <v>95</v>
      </c>
      <c r="M10" s="10" t="s">
        <v>111</v>
      </c>
      <c r="N10" s="21">
        <v>2</v>
      </c>
      <c r="O10" s="21">
        <v>14.5</v>
      </c>
      <c r="P10" s="10" t="s">
        <v>97</v>
      </c>
      <c r="Q10" s="87"/>
      <c r="R10" s="10" t="s">
        <v>97</v>
      </c>
      <c r="S10" s="10" t="s">
        <v>97</v>
      </c>
      <c r="T10" s="87"/>
      <c r="U10" s="21">
        <v>0.6</v>
      </c>
      <c r="V10" s="10">
        <v>1.1000000000000001</v>
      </c>
      <c r="W10" s="21">
        <v>0.71</v>
      </c>
      <c r="X10" s="10" t="s">
        <v>97</v>
      </c>
      <c r="Y10" s="21">
        <v>1.5</v>
      </c>
      <c r="Z10" s="21">
        <v>4</v>
      </c>
      <c r="AA10" s="10">
        <v>3</v>
      </c>
      <c r="AB10" s="10" t="s">
        <v>97</v>
      </c>
      <c r="AC10" s="10" t="s">
        <v>107</v>
      </c>
      <c r="AD10" s="10" t="s">
        <v>98</v>
      </c>
      <c r="AE10" s="10" t="s">
        <v>99</v>
      </c>
      <c r="AF10" s="20">
        <f t="shared" si="0"/>
        <v>2</v>
      </c>
      <c r="AG10" s="13">
        <f t="shared" si="1"/>
        <v>0</v>
      </c>
      <c r="AH10" s="7">
        <f t="shared" si="2"/>
        <v>10</v>
      </c>
      <c r="AI10" s="7">
        <f t="shared" si="3"/>
        <v>10</v>
      </c>
      <c r="AJ10" s="7">
        <f t="shared" si="4"/>
        <v>5</v>
      </c>
      <c r="AK10" s="7">
        <f t="shared" si="5"/>
        <v>6</v>
      </c>
      <c r="AL10" s="12">
        <f t="shared" si="6"/>
        <v>31</v>
      </c>
      <c r="AM10" s="14" t="str">
        <f t="shared" si="7"/>
        <v>Barrier</v>
      </c>
      <c r="AP10" s="10" t="s">
        <v>123</v>
      </c>
    </row>
    <row r="11" spans="1:42" x14ac:dyDescent="0.25">
      <c r="A11" s="59">
        <v>44803</v>
      </c>
      <c r="B11" s="58">
        <v>195944</v>
      </c>
      <c r="C11" s="78"/>
      <c r="D11" s="10" t="s">
        <v>108</v>
      </c>
      <c r="E11" s="10">
        <v>9</v>
      </c>
      <c r="F11" s="80">
        <v>646015.19120994303</v>
      </c>
      <c r="G11" s="80">
        <v>6035569.6458600396</v>
      </c>
      <c r="H11" s="78" t="s">
        <v>109</v>
      </c>
      <c r="I11" s="11" t="s">
        <v>94</v>
      </c>
      <c r="J11" s="33"/>
      <c r="K11" s="10" t="s">
        <v>122</v>
      </c>
      <c r="L11" s="10" t="s">
        <v>95</v>
      </c>
      <c r="M11" s="10" t="s">
        <v>96</v>
      </c>
      <c r="N11" s="21">
        <v>1.8</v>
      </c>
      <c r="O11" s="21">
        <v>99</v>
      </c>
      <c r="P11" s="10" t="s">
        <v>97</v>
      </c>
      <c r="Q11" s="87"/>
      <c r="R11" s="10" t="s">
        <v>97</v>
      </c>
      <c r="S11" s="10" t="s">
        <v>97</v>
      </c>
      <c r="T11" s="87"/>
      <c r="U11" s="21">
        <v>9.99</v>
      </c>
      <c r="V11" s="10">
        <v>1.5</v>
      </c>
      <c r="W11" s="21">
        <v>0.25</v>
      </c>
      <c r="X11" s="10" t="s">
        <v>97</v>
      </c>
      <c r="Y11" s="21">
        <v>3.5</v>
      </c>
      <c r="Z11" s="21">
        <v>2.6</v>
      </c>
      <c r="AA11" s="10">
        <v>2</v>
      </c>
      <c r="AB11" s="10" t="s">
        <v>97</v>
      </c>
      <c r="AC11" s="10" t="s">
        <v>107</v>
      </c>
      <c r="AD11" s="10" t="s">
        <v>98</v>
      </c>
      <c r="AE11" s="10" t="s">
        <v>99</v>
      </c>
      <c r="AF11" s="20">
        <f t="shared" si="0"/>
        <v>1.4444444444444444</v>
      </c>
      <c r="AG11" s="13">
        <f t="shared" si="1"/>
        <v>6</v>
      </c>
      <c r="AH11" s="7">
        <f t="shared" si="2"/>
        <v>10</v>
      </c>
      <c r="AI11" s="7">
        <f t="shared" si="3"/>
        <v>10</v>
      </c>
      <c r="AJ11" s="7">
        <f>IF(Y11&lt;1,0,IF(AND(Y11&gt;=1,Y11&lt;3),5,IF(Y11&gt;=3,10,0)))</f>
        <v>10</v>
      </c>
      <c r="AK11" s="7">
        <f t="shared" si="5"/>
        <v>6</v>
      </c>
      <c r="AL11" s="12">
        <f t="shared" si="6"/>
        <v>42</v>
      </c>
      <c r="AM11" s="14" t="str">
        <f t="shared" si="7"/>
        <v>Barrier</v>
      </c>
      <c r="AO11" s="10"/>
      <c r="AP11" s="10" t="s">
        <v>124</v>
      </c>
    </row>
    <row r="12" spans="1:42" x14ac:dyDescent="0.25">
      <c r="A12" s="59">
        <v>44804</v>
      </c>
      <c r="C12" s="10">
        <v>1493</v>
      </c>
      <c r="D12" s="10" t="s">
        <v>125</v>
      </c>
      <c r="E12" s="11">
        <v>9</v>
      </c>
      <c r="F12" s="39">
        <v>634764</v>
      </c>
      <c r="G12" s="39">
        <v>6051172</v>
      </c>
      <c r="H12" s="11" t="s">
        <v>126</v>
      </c>
      <c r="I12" s="11" t="s">
        <v>127</v>
      </c>
      <c r="J12" s="33"/>
      <c r="L12" s="10" t="s">
        <v>128</v>
      </c>
      <c r="M12" s="10" t="s">
        <v>129</v>
      </c>
      <c r="N12" s="87"/>
      <c r="O12" s="87"/>
      <c r="P12" s="86"/>
      <c r="Q12" s="86"/>
      <c r="R12" s="86"/>
      <c r="S12" s="86"/>
      <c r="T12" s="87"/>
      <c r="U12" s="87"/>
      <c r="V12" s="86"/>
      <c r="W12" s="87"/>
      <c r="X12" s="86"/>
      <c r="Y12" s="87"/>
      <c r="Z12" s="87"/>
      <c r="AA12" s="86"/>
      <c r="AB12" s="10" t="s">
        <v>97</v>
      </c>
      <c r="AC12" s="10" t="s">
        <v>97</v>
      </c>
      <c r="AD12" s="86"/>
      <c r="AE12" s="86"/>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Unknown</v>
      </c>
      <c r="AP12" s="10" t="s">
        <v>130</v>
      </c>
    </row>
    <row r="13" spans="1:42" ht="30" x14ac:dyDescent="0.25">
      <c r="A13" s="59">
        <v>44805</v>
      </c>
      <c r="B13" s="58">
        <v>58067</v>
      </c>
      <c r="D13" s="10" t="s">
        <v>133</v>
      </c>
      <c r="E13" s="11">
        <v>9</v>
      </c>
      <c r="F13" s="39">
        <v>609735.82349958899</v>
      </c>
      <c r="G13" s="39">
        <v>6092879.9218358202</v>
      </c>
      <c r="H13" s="11" t="s">
        <v>132</v>
      </c>
      <c r="I13" s="11" t="s">
        <v>131</v>
      </c>
      <c r="K13" s="11" t="s">
        <v>122</v>
      </c>
      <c r="L13" s="10" t="s">
        <v>95</v>
      </c>
      <c r="M13" s="10" t="s">
        <v>111</v>
      </c>
      <c r="N13" s="21">
        <v>2.2000000000000002</v>
      </c>
      <c r="O13" s="21">
        <v>15.8</v>
      </c>
      <c r="P13" s="10" t="s">
        <v>97</v>
      </c>
      <c r="Q13" s="86"/>
      <c r="R13" s="10" t="s">
        <v>97</v>
      </c>
      <c r="S13" s="10" t="s">
        <v>97</v>
      </c>
      <c r="T13" s="86"/>
      <c r="U13" s="21">
        <v>1.8</v>
      </c>
      <c r="V13" s="10">
        <v>0.49</v>
      </c>
      <c r="W13" s="21">
        <v>1.46</v>
      </c>
      <c r="X13" s="10" t="s">
        <v>107</v>
      </c>
      <c r="Y13" s="21">
        <v>0.3</v>
      </c>
      <c r="Z13" s="21">
        <v>6.6</v>
      </c>
      <c r="AA13" s="10">
        <v>4</v>
      </c>
      <c r="AB13" s="10" t="s">
        <v>97</v>
      </c>
      <c r="AC13" s="10" t="s">
        <v>97</v>
      </c>
      <c r="AD13" s="10" t="s">
        <v>98</v>
      </c>
      <c r="AE13" s="10" t="s">
        <v>119</v>
      </c>
      <c r="AF13" s="20">
        <f t="shared" si="8"/>
        <v>2.9999999999999996</v>
      </c>
      <c r="AG13" s="13">
        <f t="shared" si="1"/>
        <v>3</v>
      </c>
      <c r="AH13" s="7">
        <f t="shared" si="2"/>
        <v>10</v>
      </c>
      <c r="AI13" s="7">
        <f t="shared" si="3"/>
        <v>10</v>
      </c>
      <c r="AJ13" s="7">
        <f t="shared" si="4"/>
        <v>0</v>
      </c>
      <c r="AK13" s="7">
        <f t="shared" si="5"/>
        <v>6</v>
      </c>
      <c r="AL13" s="12">
        <f t="shared" si="9"/>
        <v>29</v>
      </c>
      <c r="AM13" s="14" t="str">
        <f t="shared" si="7"/>
        <v>Barrier</v>
      </c>
      <c r="AP13" s="10" t="s">
        <v>134</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ZHenVS8JRB8eAIhecaTMpC3rKcIOj82bCt8fKsI0cP1poUgYPgD1Tr78SgiwTN2MQ3fgn8qDwBVvVhoLfHt3g==" saltValue="Em/6epbFDGKNfrmhuC5xk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 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3 M9:M11 M5:M7" xr:uid="{E1C4FC06-1B2A-4175-8CD8-5A5EBCDC8E5D}">
      <formula1>"Round Culvert,Oval Culvert,Concrete Box"</formula1>
    </dataValidation>
    <dataValidation type="decimal" allowBlank="1" showInputMessage="1" showErrorMessage="1" errorTitle="Invalid Diamter or Span" error="The Diameter or Span entered is invalid. Diameter or Span must be &gt; 0 and &lt; 300" sqref="N13 N9:N11 N5:N7" xr:uid="{813F7A3D-A5C7-4D51-B679-AEDD4644ECD1}">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xr:uid="{0882BBA2-D768-4245-92A3-30F7AB3C6587}">
      <formula1>0.01</formula1>
      <formula2>0.89</formula2>
    </dataValidation>
    <dataValidation type="decimal" allowBlank="1" showInputMessage="1" showErrorMessage="1" errorTitle="Invalid value entered" error="The Average Depth Embededdment you entered is invalid. The Average Depth Embededdment must be &lt;= 2.29 and &gt;= 0.01" sqref="Q6" xr:uid="{EA6CFE6A-A516-4924-841E-1CF4BB071ACE}">
      <formula1>0.01</formula1>
      <formula2>2.29</formula2>
    </dataValidation>
    <dataValidation type="decimal" allowBlank="1" showInputMessage="1" showErrorMessage="1" errorTitle="Invalid value entered" error="The Average Depth Embededdment you entered is invalid. The Average Depth Embededdment must be &lt;= 1.99 and &gt;= 0.01" sqref="Q7 Q10" xr:uid="{189AAEA7-6CF0-41A6-A1B9-54C143B155BE}">
      <formula1>0.01</formula1>
      <formula2>1.99</formula2>
    </dataValidation>
    <dataValidation type="list" allowBlank="1" showInputMessage="1" showErrorMessage="1" errorTitle="Invalid value entered" error="The crossing subtype is not compatible with a crossing type of Open Bottom Structure" sqref="M8" xr:uid="{3FBF8499-84A6-4336-B9F2-AB21D83F8E80}">
      <formula1>"Bridge, Pipe Arch, Wood Box Culvert"</formula1>
    </dataValidation>
    <dataValidation type="decimal" allowBlank="1" showInputMessage="1" showErrorMessage="1" errorTitle="Invalid Diamter or Span" error="The Diameter or Span entered is invalid. Diameter or Span must be &gt; 0 and &lt; 100" sqref="N8" xr:uid="{8D97673C-4E41-4098-B13F-ECFD851CB94C}">
      <formula1>0.01</formula1>
      <formula2>100</formula2>
    </dataValidation>
    <dataValidation type="decimal" allowBlank="1" showInputMessage="1" showErrorMessage="1" errorTitle="Invalid value entered" error="The Average Depth Embededdment you entered is invalid. The Average Depth Embededdment must be &lt;= 6.09 and &gt;= 0.01" sqref="Q8" xr:uid="{1D8DC6EE-83E4-4A3F-A609-1C9FDB96F6A0}">
      <formula1>0.01</formula1>
      <formula2>6.09</formula2>
    </dataValidation>
    <dataValidation type="decimal" allowBlank="1" showInputMessage="1" showErrorMessage="1" errorTitle="Invalid value entered" error="The Average Depth Embededdment you entered is invalid. The Average Depth Embededdment must be &lt;= 2.99 and &gt;= 0.01" sqref="Q9" xr:uid="{AD6C9C7B-FDD6-4230-82B3-1A2979B8E944}">
      <formula1>0.01</formula1>
      <formula2>2.99</formula2>
    </dataValidation>
    <dataValidation type="decimal" allowBlank="1" showInputMessage="1" showErrorMessage="1" errorTitle="Invalid value entered" error="The Average Depth Embededdment you entered is invalid. The Average Depth Embededdment must be &lt;= 1.79 and &gt;= 0.01" sqref="Q11" xr:uid="{E8208B2C-0E08-4B45-B770-61A36AC7C225}">
      <formula1>0.01</formula1>
      <formula2>1.79</formula2>
    </dataValidation>
    <dataValidation type="list" allowBlank="1" showInputMessage="1" showErrorMessage="1" errorTitle="Invalid value entered" error="The crossing subtype is not compatible with a crossing type of Other" sqref="M12" xr:uid="{602B3CDC-4B55-4754-AADF-117CC06D3731}">
      <formula1>"Ford"</formula1>
    </dataValidation>
    <dataValidation type="decimal" allowBlank="1" showInputMessage="1" showErrorMessage="1" errorTitle="Invalid value entered" error="The Average Depth Embededdment you entered is invalid. The Average Depth Embededdment must be &lt;= 2.19 and &gt;= 0.01" sqref="Q13" xr:uid="{D664D593-140D-419A-BEA8-81B13371F087}">
      <formula1>0.01</formula1>
      <formula2>2.19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2022-10-14T21:39:18Z</dcterms:modified>
</cp:coreProperties>
</file>